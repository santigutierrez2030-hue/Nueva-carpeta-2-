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" sheetId="1" state="visible" r:id="rId3"/>
    <sheet name="RI-Tablas" sheetId="2" state="visible" r:id="rId4"/>
    <sheet name="RNF" sheetId="3" state="visible" r:id="rId5"/>
    <sheet name="Trazabilidad" sheetId="4" state="visible" r:id="rId6"/>
    <sheet name="Control de camb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<sst xmlns="http://schemas.openxmlformats.org/spreadsheetml/2006/main" count="827" uniqueCount="569">
  <si>
    <t xml:space="preserve">Fecha de la Versión: 27/10/2026</t>
  </si>
  <si>
    <t xml:space="preserve">REQUISITO FUNCIONAL</t>
  </si>
  <si>
    <t xml:space="preserve">REGLAS DEL NEGOCIO</t>
  </si>
  <si>
    <t xml:space="preserve">REQUISITOS DE INFORMACION</t>
  </si>
  <si>
    <t xml:space="preserve">Módulo</t>
  </si>
  <si>
    <t xml:space="preserve">Rol</t>
  </si>
  <si>
    <t xml:space="preserve">Subprocesos</t>
  </si>
  <si>
    <t xml:space="preserve">Nro.</t>
  </si>
  <si>
    <t xml:space="preserve">Descripción</t>
  </si>
  <si>
    <t xml:space="preserve">Prioridad</t>
  </si>
  <si>
    <t xml:space="preserve">Identidad y Acceso</t>
  </si>
  <si>
    <t xml:space="preserve">Cliente</t>
  </si>
  <si>
    <t xml:space="preserve">Registro de usuarios</t>
  </si>
  <si>
    <t xml:space="preserve">RF-001</t>
  </si>
  <si>
    <t xml:space="preserve">El sistema debe permitir al cliente crear una cuenta proporcionando nombre, correo electrónico, teléfono y contraseña.</t>
  </si>
  <si>
    <t xml:space="preserve">Alta</t>
  </si>
  <si>
    <t xml:space="preserve">RN-001</t>
  </si>
  <si>
    <t xml:space="preserve">El correo electrónico debe ser único.</t>
  </si>
  <si>
    <t xml:space="preserve">RI-001</t>
  </si>
  <si>
    <t xml:space="preserve">Tablas: USUARIOS (RI-001).
CREATE TABLE USUARIOS (
    id_usuario     INT          NOT NULL AUTO_INCREMENT,
    id_rol         INT          NOT NULL,
    uuid           CHAR(36)     NOT NULL,
    nombre         VARCHAR(150) NOT NULL,
    email          VARCHAR(150) NOT NULL,
    password_hash  VARCHAR(255) NOT NULL,
    telefono       VARCHAR(20),
    estado         ENUM('activo','inactivo','suspendido') NOT NULL DEFAULT 'activo',
    fecha_registro TIMESTAMP    NOT NULL DEFAULT CURRENT_TIMESTAMP,
    CONSTRAINT PK_USUARIOS PRIMARY KEY (id_usuario),
    CONSTRAINT UQ_USUARIOS_EMAIL UNIQUE (email),
    CONSTRAINT UQ_USUARIOS_UUID  UNIQUE (uuid),
    CONSTRAINT FK_USUARIOS_ROLES FOREIGN KEY (id_rol) REFERENCES ROLES(id_rol)
) ENGINE=InnoDB;</t>
  </si>
  <si>
    <t xml:space="preserve">Autenticación</t>
  </si>
  <si>
    <t xml:space="preserve">RF-002</t>
  </si>
  <si>
    <t xml:space="preserve">El sistema debe permitir al cliente iniciar sesión utilizando sus credenciales.</t>
  </si>
  <si>
    <t xml:space="preserve">RN-002</t>
  </si>
  <si>
    <t xml:space="preserve">Solo podrán ingresar usuarios registrados y activos.</t>
  </si>
  <si>
    <t xml:space="preserve">RI-002</t>
  </si>
  <si>
    <t xml:space="preserve">Tablas: USUARIOS (RI-001).</t>
  </si>
  <si>
    <t xml:space="preserve">Validación de datos</t>
  </si>
  <si>
    <t xml:space="preserve">RF-003</t>
  </si>
  <si>
    <t xml:space="preserve">El sistema debe validar el formato de los datos ingresados durante el registro.</t>
  </si>
  <si>
    <t xml:space="preserve">RN-003</t>
  </si>
  <si>
    <t xml:space="preserve">El correo, teléfono y demás datos deben cumplir los formatos establecidos.</t>
  </si>
  <si>
    <t xml:space="preserve">RI-003</t>
  </si>
  <si>
    <t xml:space="preserve">Seguridad de credenciales</t>
  </si>
  <si>
    <t xml:space="preserve">RF-004</t>
  </si>
  <si>
    <t xml:space="preserve">El sistema debe almacenar las contraseñas de los usuarios de forma segura.</t>
  </si>
  <si>
    <t xml:space="preserve">RN-004</t>
  </si>
  <si>
    <t xml:space="preserve">Las contraseñas no deben almacenarse en texto plano.</t>
  </si>
  <si>
    <t xml:space="preserve">RI-004</t>
  </si>
  <si>
    <t xml:space="preserve">Gestión de Usuarios</t>
  </si>
  <si>
    <t xml:space="preserve">Consulta de datos personales</t>
  </si>
  <si>
    <t xml:space="preserve">RF-005</t>
  </si>
  <si>
    <t xml:space="preserve">El sistema debe permitir al cliente consultar la información personal asociada a su cuenta.</t>
  </si>
  <si>
    <t xml:space="preserve">Media</t>
  </si>
  <si>
    <t xml:space="preserve">RN-005</t>
  </si>
  <si>
    <t xml:space="preserve">El cliente solo podrá consultar la información correspondiente a su propia cuenta.</t>
  </si>
  <si>
    <t xml:space="preserve">RI-005</t>
  </si>
  <si>
    <t xml:space="preserve">Actualización de datos personales</t>
  </si>
  <si>
    <t xml:space="preserve">RF-006</t>
  </si>
  <si>
    <t xml:space="preserve">El sistema debe permitir al cliente modificar y guardar sus datos personales, como nombre, teléfono y correo electrónico.</t>
  </si>
  <si>
    <t xml:space="preserve">RN-006</t>
  </si>
  <si>
    <t xml:space="preserve">El sistema debe validar los datos antes de actualizarlos. El correo electrónico debe conservar su condición de único y el cliente no podrá modificar información relacionada con su rol o nivel de acceso.</t>
  </si>
  <si>
    <t xml:space="preserve">RI-006</t>
  </si>
  <si>
    <t xml:space="preserve">Gestión de Bicicletas</t>
  </si>
  <si>
    <t xml:space="preserve">Consulta de disponibilidad</t>
  </si>
  <si>
    <t xml:space="preserve">RF-007</t>
  </si>
  <si>
    <t xml:space="preserve">El sistema debe permitir al cliente consultar las bicicletas disponibles para alquiler.</t>
  </si>
  <si>
    <t xml:space="preserve">RN-007</t>
  </si>
  <si>
    <t xml:space="preserve">Una bicicleta en mantenimiento, en uso, dada de baja o con batería baja no podrá ofrecerse para alquiler.</t>
  </si>
  <si>
    <t xml:space="preserve">RI-007</t>
  </si>
  <si>
    <t xml:space="preserve">Tablas: BICICLETAS (RI-027), ESTACIONES (RI-023), BATERIAS (RI-031), V_BICICLETAS_DISPONIBLES (RI-007).
CREATE VIEW V_BICICLETAS_DISPONIBLES AS
SELECT b.id_bicicleta, b.codigo_qr, b.modelo,
       e.id_estacion, e.nombre AS estacion,
       bt.nivel_carga
FROM BICICLETAS b
JOIN ESTACIONES e ON e.id_estacion = b.id_estacion AND e.estado = 'operativa'
JOIN BATERIAS bt  ON bt.id_bicicleta = b.id_bicicleta AND bt.estado NOT IN ('baja','averiada')
WHERE b.estado = 'disponible'
  AND bt.nivel_carga &gt;= (SELECT CAST(valor AS DECIMAL(5,2))
                         FROM CONFIGURACION_SISTEMA
                         WHERE clave = 'bateria_minima_alquiler');</t>
  </si>
  <si>
    <t xml:space="preserve">Operaciones de Alquiler</t>
  </si>
  <si>
    <t xml:space="preserve">Inicio de alquiler</t>
  </si>
  <si>
    <t xml:space="preserve">RF-008</t>
  </si>
  <si>
    <t xml:space="preserve">El sistema debe permitir al cliente seleccionar una bicicleta disponible e iniciar un alquiler.</t>
  </si>
  <si>
    <t xml:space="preserve">RN-008</t>
  </si>
  <si>
    <t xml:space="preserve">Una bicicleta no puede estar asociada simultáneamente a dos alquileres activos.</t>
  </si>
  <si>
    <t xml:space="preserve">RI-008</t>
  </si>
  <si>
    <t xml:space="preserve">Tablas: ALQUILERES (RI-009), BICICLETAS (RI-027).</t>
  </si>
  <si>
    <t xml:space="preserve">Registro de alquiler</t>
  </si>
  <si>
    <t xml:space="preserve">RF-009</t>
  </si>
  <si>
    <t xml:space="preserve">El sistema debe registrar la fecha, hora, estación de origen y bicicleta utilizada al iniciar un alquiler.</t>
  </si>
  <si>
    <t xml:space="preserve">RN-009</t>
  </si>
  <si>
    <t xml:space="preserve">Todo alquiler debe tener una bicicleta y una estación de origen.</t>
  </si>
  <si>
    <t xml:space="preserve">RI-009</t>
  </si>
  <si>
    <t xml:space="preserve">Tablas: ALQUILERES (RI-009).
CREATE TABLE ALQUILERES (
    id_alquiler          INT           NOT NULL AUTO_INCREMENT,
    id_usuario           INT           NOT NULL,
    id_bicicleta         INT           NOT NULL,
    id_estacion_origen   INT           NOT NULL,
    id_estacion_destino  INT,
    id_tarifa            INT           NOT NULL,
    uuid_alquiler        CHAR(36)      NOT NULL,
    fecha_inicio         DATETIME      NOT NULL,
    fecha_fin            DATETIME,
    duracion_minutos     INT GENERATED ALWAYS AS (TIMESTAMPDIFF(MINUTE, fecha_inicio, fecha_fin)) STORED,
    costo_total          DECIMAL(10,2),
    estado               ENUM('activo','completado','cancelado','incidencia') NOT NULL DEFAULT 'activo',
    -- RN-008: una bicicleta no puede tener dos alquileres activos (NULL no choca en UNIQUE)
    bicicleta_activa     INT GENERATED ALWAYS AS (CASE WHEN estado = 'activo' THEN id_bicicleta END) STORED,
    CONSTRAINT PK_ALQUILERES PRIMARY KEY (id_alquiler),
    CONSTRAINT UQ_ALQUILERES_UUID UNIQUE (uuid_alquiler),
    CONSTRAINT UQ_ALQUILERES_BICI_ACTIVA UNIQUE (bicicleta_activa),
    CONSTRAINT FK_ALQUILERES_USUARIOS   FOREIGN KEY (id_usuario)          REFERENCES USUARIOS(id_usuario),
    CONSTRAINT FK_ALQUILERES_BICICLETAS FOREIGN KEY (id_bicicleta)        REFERENCES BICICLETAS(id_bicicleta),
    CONSTRAINT FK_ALQUILERES_ORIGEN     FOREIGN KEY (id_estacion_origen)  REFERENCES ESTACIONES(id_estacion),
    CONSTRAINT FK_ALQUILERES_DESTINO    FOREIGN KEY (id_estacion_destino) REFERENCES ESTACIONES(id_estacion),
    CONSTRAINT FK_ALQUILERES_TARIFAS    FOREIGN KEY (id_tarifa)           REFERENCES TARIFAS(id_tarifa),
    -- RN-011: el fin es posterior al inicio
    CONSTRAINT CK_ALQUILERES_FECHAS CHECK (fecha_fin IS NULL OR fecha_fin &gt; fecha_inicio),
    CONSTRAINT CK_ALQUILERES_COSTO  CHECK (costo_total IS NULL OR costo_total &gt;= 0),
    -- RN-010: un alquiler completado registra fin, destino y costo
    CONSTRAINT CK_ALQUILERES_COMPLETADO CHECK (estado &lt;&gt; 'completado'
        OR (fecha_fin IS NOT NULL AND id_estacion_destino IS NOT NULL AND costo_total IS NOT NULL))
) ENGINE=InnoDB;</t>
  </si>
  <si>
    <t xml:space="preserve">Finalización de alquiler</t>
  </si>
  <si>
    <t xml:space="preserve">RF-010</t>
  </si>
  <si>
    <t xml:space="preserve">El sistema debe permitir al cliente finalizar un alquiler registrando la estación de destino y generar automáticamente el costo correspondiente al servicio.</t>
  </si>
  <si>
    <t xml:space="preserve">RN-010</t>
  </si>
  <si>
    <t xml:space="preserve">Un alquiler finalizado debe registrar la fecha y hora de finalización, estación de destino y costo total.</t>
  </si>
  <si>
    <t xml:space="preserve">RI-010</t>
  </si>
  <si>
    <t xml:space="preserve">El sistema debe almacenar la información del alquiler, incluyendo usuario, bicicleta, estaciones de origen y destino, fechas, costo y estado.
Tablas: ALQUILERES (RI-009), ESTACIONES (RI-023).</t>
  </si>
  <si>
    <t xml:space="preserve">Cierre de alquiler</t>
  </si>
  <si>
    <t xml:space="preserve">RF-011</t>
  </si>
  <si>
    <t xml:space="preserve">El sistema debe registrar la estación de destino, fecha y hora de finalización al cerrar un alquiler.</t>
  </si>
  <si>
    <t xml:space="preserve">RN-011</t>
  </si>
  <si>
    <t xml:space="preserve">La fecha y hora de finalización deben ser posteriores al inicio.</t>
  </si>
  <si>
    <t xml:space="preserve">RI-011</t>
  </si>
  <si>
    <t xml:space="preserve">Tablas: ALQUILERES (RI-009).</t>
  </si>
  <si>
    <t xml:space="preserve">Cálculo de tarifa</t>
  </si>
  <si>
    <t xml:space="preserve">RF-012</t>
  </si>
  <si>
    <t xml:space="preserve">El sistema debe calcular el costo correspondiente al alquiler.</t>
  </si>
  <si>
    <t xml:space="preserve">RN-012</t>
  </si>
  <si>
    <t xml:space="preserve">El costo debe calcularse de acuerdo con las reglas tarifarias definidas por la empresa.</t>
  </si>
  <si>
    <t xml:space="preserve">RI-012</t>
  </si>
  <si>
    <t xml:space="preserve">Tablas: TARIFAS (RI-012), ALQUILERES (RI-009).
CREATE TABLE TARIFAS (
    id_tarifa      INT           NOT NULL AUTO_INCREMENT,
    nombre         VARCHAR(80)   NOT NULL,
    tarifa_base    DECIMAL(10,2) NOT NULL DEFAULT 0.00,
    valor_minuto   DECIMAL(10,2) NOT NULL,
    vigente_desde  DATE          NOT NULL,
    vigente_hasta  DATE,
    activa         BOOLEAN       NOT NULL DEFAULT TRUE,
    CONSTRAINT PK_TARIFAS PRIMARY KEY (id_tarifa),
    CONSTRAINT CK_TARIFAS_BASE   CHECK (tarifa_base &gt;= 0),
    CONSTRAINT CK_TARIFAS_MINUTO CHECK (valor_minuto &gt; 0),
    CONSTRAINT CK_TARIFAS_VIGENCIA CHECK (vigente_hasta IS NULL OR vigente_hasta &gt;= vigente_desde)
) ENGINE=InnoDB;</t>
  </si>
  <si>
    <t xml:space="preserve">Pagos</t>
  </si>
  <si>
    <t xml:space="preserve">Registro de medios de pago</t>
  </si>
  <si>
    <t xml:space="preserve">RF-013</t>
  </si>
  <si>
    <t xml:space="preserve">El sistema debe permitir al cliente registrar un medio de pago.</t>
  </si>
  <si>
    <t xml:space="preserve">RN-013</t>
  </si>
  <si>
    <t xml:space="preserve">No se deben almacenar directamente datos sensibles de las tarjetas.</t>
  </si>
  <si>
    <t xml:space="preserve">RI-013</t>
  </si>
  <si>
    <t xml:space="preserve">Tablas: METODOS_PAGO (RI-013).
CREATE TABLE METODOS_PAGO (
    id_metodo_pago  INT          NOT NULL AUTO_INCREMENT,
    id_usuario      INT          NOT NULL,
    tipo            ENUM('tarjeta_credito','tarjeta_debito','transferencia','billetera_digital') NOT NULL,
    token_hash      VARCHAR(255) NOT NULL,
    ultimos_cuatro  CHAR(4),
    activo          BOOLEAN      NOT NULL DEFAULT TRUE,
    fecha_creacion  TIMESTAMP    NOT NULL DEFAULT CURRENT_TIMESTAMP,
    CONSTRAINT PK_METODOS_PAGO PRIMARY KEY (id_metodo_pago),
    CONSTRAINT UQ_METODOS_PAGO_TOKEN UNIQUE (token_hash),
    CONSTRAINT FK_METODOS_PAGO_USUARIOS FOREIGN KEY (id_usuario) REFERENCES USUARIOS(id_usuario)
) ENGINE=InnoDB;</t>
  </si>
  <si>
    <t xml:space="preserve">Registro de pagos</t>
  </si>
  <si>
    <t xml:space="preserve">RF-014</t>
  </si>
  <si>
    <t xml:space="preserve">El sistema debe generar una transacción asociada al alquiler finalizado y al método de pago seleccionado por el cliente.</t>
  </si>
  <si>
    <t xml:space="preserve">RN-014</t>
  </si>
  <si>
    <t xml:space="preserve">Cada alquiler completado debe generar una única transacción y el monto de la transacción debe corresponder al costo total del alquiler. El método de pago seleccionado para una transacción debe pertenecer al mismo usuario que realizó el alquiler asociado.</t>
  </si>
  <si>
    <t xml:space="preserve">RI-014</t>
  </si>
  <si>
    <t xml:space="preserve">El sistema debe almacenar el alquiler asociado, método de pago, monto, estado del pago, referencia externa y fecha de procesamiento.
Tablas: TRANSACCIONES (RI-014).
CREATE TABLE TRANSACCIONES (
    id_transaccion  INT           NOT NULL AUTO_INCREMENT,
    id_alquiler     INT           NOT NULL,
    id_metodo_pago  INT           NOT NULL,
    monto           DECIMAL(10,2) NOT NULL,
    estado_pago     ENUM('pendiente','aprobado','rechazado','reembolsado') NOT NULL DEFAULT 'pendiente',
    referencia_ext  VARCHAR(100),
    fecha_proceso   DATETIME,
    CONSTRAINT PK_TRANSACCIONES PRIMARY KEY (id_transaccion),
    -- RN-014: un alquiler genera una única transacción
    CONSTRAINT UQ_TRANSACCIONES_ALQUILER UNIQUE (id_alquiler),
    CONSTRAINT FK_TRANSACCIONES_ALQUILERES FOREIGN KEY (id_alquiler)    REFERENCES ALQUILERES(id_alquiler),
    CONSTRAINT FK_TRANSACCIONES_METODOS    FOREIGN KEY (id_metodo_pago) REFERENCES METODOS_PAGO(id_metodo_pago),
    CONSTRAINT CK_TRANSACCIONES_MONTO CHECK (monto &gt;= 0)
) ENGINE=InnoDB;</t>
  </si>
  <si>
    <t xml:space="preserve">Consulta de pagos</t>
  </si>
  <si>
    <t xml:space="preserve">RF-015</t>
  </si>
  <si>
    <t xml:space="preserve">El sistema debe permitir consultar el estado de los pagos realizados.</t>
  </si>
  <si>
    <t xml:space="preserve">RN-015</t>
  </si>
  <si>
    <t xml:space="preserve">Un pago puede encontrarse aprobado, rechazado, pendiente o reembolsado.</t>
  </si>
  <si>
    <t xml:space="preserve">RI-015</t>
  </si>
  <si>
    <t xml:space="preserve">Tablas: TRANSACCIONES (RI-014).</t>
  </si>
  <si>
    <t xml:space="preserve">Historial</t>
  </si>
  <si>
    <t xml:space="preserve">Consulta de historial</t>
  </si>
  <si>
    <t xml:space="preserve">RF-016</t>
  </si>
  <si>
    <t xml:space="preserve">El sistema debe permitir al cliente consultar el historial de sus alquileres.</t>
  </si>
  <si>
    <t xml:space="preserve">RN-016</t>
  </si>
  <si>
    <t xml:space="preserve">Solo podrá consultar información correspondiente a su propia cuenta.</t>
  </si>
  <si>
    <t xml:space="preserve">RI-016</t>
  </si>
  <si>
    <t xml:space="preserve">Administrador</t>
  </si>
  <si>
    <t xml:space="preserve">Registro de usuarios administrativos</t>
  </si>
  <si>
    <t xml:space="preserve">RF-017</t>
  </si>
  <si>
    <t xml:space="preserve">El sistema debe permitir al administrador registrar usuarios.</t>
  </si>
  <si>
    <t xml:space="preserve">RN-017</t>
  </si>
  <si>
    <t xml:space="preserve">El correo electrónico de cada usuario debe ser único.</t>
  </si>
  <si>
    <t xml:space="preserve">RI-017</t>
  </si>
  <si>
    <t xml:space="preserve">Tablas: USUARIOS (RI-001), ROLES (RI-041).</t>
  </si>
  <si>
    <t xml:space="preserve">Consulta de usuarios</t>
  </si>
  <si>
    <t xml:space="preserve">RF-018</t>
  </si>
  <si>
    <t xml:space="preserve">El sistema debe permitir al administrador consultar usuarios registrados.</t>
  </si>
  <si>
    <t xml:space="preserve">RN-018</t>
  </si>
  <si>
    <t xml:space="preserve">El acceso a la información debe estar restringido según el nivel de acceso.</t>
  </si>
  <si>
    <t xml:space="preserve">RI-018</t>
  </si>
  <si>
    <t xml:space="preserve">Actualización de usuarios</t>
  </si>
  <si>
    <t xml:space="preserve">RF-019</t>
  </si>
  <si>
    <t xml:space="preserve">El sistema debe permitir al administrador modificar información de los usuarios.</t>
  </si>
  <si>
    <t xml:space="preserve">RN-019</t>
  </si>
  <si>
    <t xml:space="preserve">El administrador no podrá modificar configuraciones reservadas al superadministrador.</t>
  </si>
  <si>
    <t xml:space="preserve">RI-019</t>
  </si>
  <si>
    <t xml:space="preserve">Desactivación de usuarios</t>
  </si>
  <si>
    <t xml:space="preserve">RF-020</t>
  </si>
  <si>
    <t xml:space="preserve">El sistema debe permitir al administrador eliminar o desactivar usuarios.</t>
  </si>
  <si>
    <t xml:space="preserve">RN-020</t>
  </si>
  <si>
    <t xml:space="preserve">No se debe eliminar información cuando existan registros históricos que requieran conservar trazabilidad.</t>
  </si>
  <si>
    <t xml:space="preserve">RI-020</t>
  </si>
  <si>
    <t xml:space="preserve">Consulta de bicicletas</t>
  </si>
  <si>
    <t xml:space="preserve">RF-021</t>
  </si>
  <si>
    <t xml:space="preserve">El sistema debe permitir al administrador consultar la información de las bicicletas.</t>
  </si>
  <si>
    <t xml:space="preserve">RN-021</t>
  </si>
  <si>
    <t xml:space="preserve">La información debe corresponder a bicicletas registradas en el sistema.</t>
  </si>
  <si>
    <t xml:space="preserve">RI-021</t>
  </si>
  <si>
    <t xml:space="preserve">Tablas: BICICLETAS (RI-027).</t>
  </si>
  <si>
    <t xml:space="preserve">Actualización de bicicletas</t>
  </si>
  <si>
    <t xml:space="preserve">RF-022</t>
  </si>
  <si>
    <t xml:space="preserve">El sistema debe permitir al administrador modificar información de las bicicletas.</t>
  </si>
  <si>
    <t xml:space="preserve">RN-022</t>
  </si>
  <si>
    <t xml:space="preserve">Los cambios deben conservar la consistencia de la información.</t>
  </si>
  <si>
    <t xml:space="preserve">RI-022</t>
  </si>
  <si>
    <t xml:space="preserve">Gestión de Estaciones</t>
  </si>
  <si>
    <t xml:space="preserve">Registro de estaciones</t>
  </si>
  <si>
    <t xml:space="preserve">RF-023</t>
  </si>
  <si>
    <t xml:space="preserve">El sistema debe permitir al administrador registrar nuevas estaciones proporcionando código, nombre, dirección, coordenadas y capacidad.</t>
  </si>
  <si>
    <t xml:space="preserve">RN-023</t>
  </si>
  <si>
    <t xml:space="preserve">El código de la estación debe ser único, la capacidad debe ser un valor mayor que cero y la estación se registrará inicialmente en estado operativa.</t>
  </si>
  <si>
    <t xml:space="preserve">RI-023</t>
  </si>
  <si>
    <t xml:space="preserve">Tablas: ESTACIONES (RI-023).
CREATE TABLE ESTACIONES (
    id_estacion  INT           NOT NULL AUTO_INCREMENT,
    codigo       VARCHAR(50)   NOT NULL,
    nombre       VARCHAR(100)  NOT NULL,
    direccion    VARCHAR(255),
    latitud      DECIMAL(9,6)  NOT NULL,
    longitud     DECIMAL(9,6)  NOT NULL,
    capacidad    INT           NOT NULL,
    estado       ENUM('operativa','mantenimiento','inactiva') NOT NULL DEFAULT 'operativa',
    CONSTRAINT PK_ESTACIONES PRIMARY KEY (id_estacion),
    CONSTRAINT UQ_ESTACIONES_CODIGO UNIQUE (codigo),
    CONSTRAINT CK_ESTACIONES_CAPACIDAD CHECK (capacidad &gt; 0),
    CONSTRAINT CK_ESTACIONES_LAT CHECK (latitud  BETWEEN -90  AND 90),
    CONSTRAINT CK_ESTACIONES_LON CHECK (longitud BETWEEN -180 AND 180)
) ENGINE=InnoDB;</t>
  </si>
  <si>
    <t xml:space="preserve">Consulta de estaciones</t>
  </si>
  <si>
    <t xml:space="preserve">RF-024</t>
  </si>
  <si>
    <t xml:space="preserve">El sistema debe permitir al administrador consultar las estaciones y su estado operativo.</t>
  </si>
  <si>
    <t xml:space="preserve">RN-024</t>
  </si>
  <si>
    <t xml:space="preserve">Una estación puede encontrarse operativa, en mantenimiento o inactiva.</t>
  </si>
  <si>
    <t xml:space="preserve">RI-024</t>
  </si>
  <si>
    <t xml:space="preserve">Tablas: ESTACIONES (RI-023).</t>
  </si>
  <si>
    <t xml:space="preserve">Reportes y Analytics</t>
  </si>
  <si>
    <t xml:space="preserve">Consulta de información histórica</t>
  </si>
  <si>
    <t xml:space="preserve">RF-025</t>
  </si>
  <si>
    <t xml:space="preserve">El sistema debe permitir al administrador consultar información histórica de alquileres, ingresos, bicicletas, mantenimientos y estaciones.</t>
  </si>
  <si>
    <t xml:space="preserve">RN-025</t>
  </si>
  <si>
    <t xml:space="preserve">La información debe corresponder a registros almacenados en el sistema.</t>
  </si>
  <si>
    <t xml:space="preserve">RI-025</t>
  </si>
  <si>
    <t xml:space="preserve">Tablas: ALQUILERES (RI-009), TRANSACCIONES (RI-014), BICICLETAS (RI-027), MANTENIMIENTOS (RI-037), ESTACIONES (RI-023).</t>
  </si>
  <si>
    <t xml:space="preserve">Generación de reportes</t>
  </si>
  <si>
    <t xml:space="preserve">RF-026</t>
  </si>
  <si>
    <t xml:space="preserve">El sistema debe permitir al administrador generar reportes de la operación.</t>
  </si>
  <si>
    <t xml:space="preserve">RN-026</t>
  </si>
  <si>
    <t xml:space="preserve">Los reportes deben utilizar información actualizada disponible en el sistema.</t>
  </si>
  <si>
    <t xml:space="preserve">RI-026</t>
  </si>
  <si>
    <t xml:space="preserve">Operador</t>
  </si>
  <si>
    <t xml:space="preserve">Registro de bicicletas</t>
  </si>
  <si>
    <t xml:space="preserve">RF-027</t>
  </si>
  <si>
    <t xml:space="preserve">El sistema debe permitir al operador registrar bicicletas.</t>
  </si>
  <si>
    <t xml:space="preserve">RN-027</t>
  </si>
  <si>
    <t xml:space="preserve">Cada bicicleta debe tener un código QR y número de serie únicos.</t>
  </si>
  <si>
    <t xml:space="preserve">RI-027</t>
  </si>
  <si>
    <t xml:space="preserve">Tablas: BICICLETAS (RI-027).
CREATE TABLE BICICLETAS (
    id_bicicleta           INT           NOT NULL AUTO_INCREMENT,
    id_estacion            INT,
    codigo_qr              VARCHAR(100)  NOT NULL,
    num_serie              VARCHAR(100)  NOT NULL,
    modelo                 VARCHAR(100),
    estado                 ENUM('disponible','en_uso','mantenimiento','baja') NOT NULL DEFAULT 'disponible',
    kilometraje            DECIMAL(10,2) NOT NULL DEFAULT 0.00,
    proximo_mantenimiento  DATE,
    CONSTRAINT PK_BICICLETAS PRIMARY KEY (id_bicicleta),
    CONSTRAINT UQ_BICICLETAS_QR    UNIQUE (codigo_qr),
    CONSTRAINT UQ_BICICLETAS_SERIE UNIQUE (num_serie),
    CONSTRAINT FK_BICICLETAS_ESTACIONES FOREIGN KEY (id_estacion) REFERENCES ESTACIONES(id_estacion),
    CONSTRAINT CK_BICICLETAS_KM CHECK (kilometraje &gt;= 0),
    -- RN-028: una bicicleta disponible siempre está asociada a una estación
    CONSTRAINT CK_BICICLETAS_DISPONIBLE CHECK (estado &lt;&gt; 'disponible' OR id_estacion IS NOT NULL)
) ENGINE=InnoDB;</t>
  </si>
  <si>
    <t xml:space="preserve">Asignación de bicicletas</t>
  </si>
  <si>
    <t xml:space="preserve">RF-028</t>
  </si>
  <si>
    <t xml:space="preserve">El sistema debe permitir al operador asociar una bicicleta a una estación.</t>
  </si>
  <si>
    <t xml:space="preserve">RN-028</t>
  </si>
  <si>
    <t xml:space="preserve">Una bicicleta debe estar asociada a una estación cuando se encuentre disponible en ella.</t>
  </si>
  <si>
    <t xml:space="preserve">RI-028</t>
  </si>
  <si>
    <t xml:space="preserve">Tablas: BICICLETAS (RI-027), ESTACIONES (RI-023).</t>
  </si>
  <si>
    <t xml:space="preserve">Consulta de características</t>
  </si>
  <si>
    <t xml:space="preserve">RF-029</t>
  </si>
  <si>
    <t xml:space="preserve">El sistema debe permitir al operador consultar el código QR, número de serie, modelo, kilometraje, batería y estado de una bicicleta.</t>
  </si>
  <si>
    <t xml:space="preserve">RN-029</t>
  </si>
  <si>
    <t xml:space="preserve">La información consultada debe corresponder a la bicicleta seleccionada.</t>
  </si>
  <si>
    <t xml:space="preserve">RI-029</t>
  </si>
  <si>
    <t xml:space="preserve">Tablas: BICICLETAS (RI-027), BATERIAS (RI-031).</t>
  </si>
  <si>
    <t xml:space="preserve">Actualización de estado</t>
  </si>
  <si>
    <t xml:space="preserve">RF-030</t>
  </si>
  <si>
    <t xml:space="preserve">El sistema debe permitir al operador actualizar el estado de una bicicleta.</t>
  </si>
  <si>
    <t xml:space="preserve">RN-030</t>
  </si>
  <si>
    <t xml:space="preserve">Los estados permitidos deben corresponder a los definidos por el sistema.</t>
  </si>
  <si>
    <t xml:space="preserve">RI-030</t>
  </si>
  <si>
    <t xml:space="preserve">Energía</t>
  </si>
  <si>
    <t xml:space="preserve">Registro de baterías</t>
  </si>
  <si>
    <t xml:space="preserve">RF-031</t>
  </si>
  <si>
    <t xml:space="preserve">El sistema debe permitir al operador registrar las baterías asociadas a las bicicletas eléctricas, ingresando su código, capacidad, nivel de carga, temperatura, fecha de instalación, vida útil y bicicleta asociada.</t>
  </si>
  <si>
    <t xml:space="preserve">RN-031</t>
  </si>
  <si>
    <t xml:space="preserve">El código de la batería debe ser único y cada batería debe estar asociada a una bicicleta. El nivel de carga debe estar entre 0 % y 100 %.</t>
  </si>
  <si>
    <t xml:space="preserve">RI-031</t>
  </si>
  <si>
    <t xml:space="preserve">Tablas: BATERIAS (RI-031).
CREATE TABLE BATERIAS (
    id_bateria         INT           NOT NULL AUTO_INCREMENT,
    id_bicicleta       INT           NOT NULL,
    codigo_bateria     VARCHAR(100)  NOT NULL,
    capacidad_wh       DECIMAL(10,2) NOT NULL,
    nivel_carga        DECIMAL(5,2)  NOT NULL DEFAULT 100.00,
    temperatura        DECIMAL(5,2),
    estado             ENUM('disponible','cargando','cargada','baja','averiada') NOT NULL DEFAULT 'disponible',
    fecha_instalacion  DATE          NOT NULL,
    vida_util          INT,
    CONSTRAINT PK_BATERIAS PRIMARY KEY (id_bateria),
    CONSTRAINT UQ_BATERIAS_CODIGO    UNIQUE (codigo_bateria),
    -- cada bicicleta tiene una batería instalada (relación 1:1)
    CONSTRAINT UQ_BATERIAS_BICICLETA UNIQUE (id_bicicleta),
    CONSTRAINT FK_BATERIAS_BICICLETAS FOREIGN KEY (id_bicicleta) REFERENCES BICICLETAS(id_bicicleta),
    CONSTRAINT CK_BATERIAS_CAPACIDAD CHECK (capacidad_wh &gt; 0),
    -- RN-031: el nivel de carga está entre 0 % y 100 %
    CONSTRAINT CK_BATERIAS_NIVEL CHECK (nivel_carga BETWEEN 0 AND 100),
    CONSTRAINT CK_BATERIAS_VIDA  CHECK (vida_util IS NULL OR vida_util &gt; 0)
) ENGINE=InnoDB;</t>
  </si>
  <si>
    <t xml:space="preserve">Operador, Administrador, Superadministrador</t>
  </si>
  <si>
    <t xml:space="preserve">Consultar estado de baterías</t>
  </si>
  <si>
    <t xml:space="preserve">RF-032</t>
  </si>
  <si>
    <t xml:space="preserve">El sistema debe permitir al Operador, Administrador y Super Administrador consultar el nivel de carga y estado actual de las baterías asociadas a las bicicletas eléctricas.</t>
  </si>
  <si>
    <t xml:space="preserve">RN-032</t>
  </si>
  <si>
    <t xml:space="preserve">El cliente no podrá consultar información energética interna de la plataforma.</t>
  </si>
  <si>
    <t xml:space="preserve">RI-032</t>
  </si>
  <si>
    <t xml:space="preserve">Tablas: BATERIAS (RI-031).</t>
  </si>
  <si>
    <t xml:space="preserve">Consultar tiempos de carga</t>
  </si>
  <si>
    <t xml:space="preserve">RF-033</t>
  </si>
  <si>
    <t xml:space="preserve">El sistema debe permitir al Operador, Administrador y Super Administrador consultar el tiempo empleado en la carga de las baterías, registrando fecha y hora de inicio y finalización de cada proceso de carga.</t>
  </si>
  <si>
    <t xml:space="preserve">RN-033</t>
  </si>
  <si>
    <t xml:space="preserve">Cada proceso de carga debe registrar su inicio y finalización para determinar el tiempo empleado.</t>
  </si>
  <si>
    <t xml:space="preserve">RI-033</t>
  </si>
  <si>
    <t xml:space="preserve">Tablas: PROCESOS_CARGA (RI-033), BATERIAS (RI-031).
CREATE TABLE PROCESOS_CARGA (
    id_carga          INT          NOT NULL AUTO_INCREMENT,
    id_bateria        INT          NOT NULL,
    id_estacion       INT          NOT NULL,
    fecha_inicio      DATETIME     NOT NULL,
    fecha_fin         DATETIME,
    duracion_minutos  INT GENERATED ALWAYS AS (TIMESTAMPDIFF(MINUTE, fecha_inicio, fecha_fin)) STORED,
    nivel_inicial     DECIMAL(5,2) NOT NULL,
    nivel_final       DECIMAL(5,2),
    CONSTRAINT PK_PROCESOS_CARGA PRIMARY KEY (id_carga),
    CONSTRAINT FK_CARGA_BATERIAS   FOREIGN KEY (id_bateria)  REFERENCES BATERIAS(id_bateria),
    CONSTRAINT FK_CARGA_ESTACIONES FOREIGN KEY (id_estacion) REFERENCES ESTACIONES(id_estacion),
    -- RN-033: toda carga registra inicio y, al terminar, un fin posterior
    CONSTRAINT CK_CARGA_FECHAS  CHECK (fecha_fin IS NULL OR fecha_fin &gt; fecha_inicio),
    CONSTRAINT CK_CARGA_NIVELES CHECK (nivel_inicial BETWEEN 0 AND 100
        AND (nivel_final IS NULL OR nivel_final BETWEEN 0 AND 100))
) ENGINE=InnoDB;</t>
  </si>
  <si>
    <t xml:space="preserve">Consultar consumo energético</t>
  </si>
  <si>
    <t xml:space="preserve">RF-034</t>
  </si>
  <si>
    <t xml:space="preserve">El sistema debe permitir al Operador, Administrador y Super Administrador consultar el consumo energético de las estaciones expresado en kWh y el costo asociado a dicho consumo.</t>
  </si>
  <si>
    <t xml:space="preserve">RN-034</t>
  </si>
  <si>
    <t xml:space="preserve">Los consumos energéticos deben registrarse periódicamente para permitir su seguimiento histórico.</t>
  </si>
  <si>
    <t xml:space="preserve">RI-034</t>
  </si>
  <si>
    <t xml:space="preserve">Tablas: REGISTROS_ENERGIA (RI-034), ESTACIONES (RI-023).
CREATE TABLE REGISTROS_ENERGIA (
    id_registro_energia  INT            NOT NULL AUTO_INCREMENT,
    id_estacion          INT            NOT NULL,
    id_carga             INT,
    tipo_operacion       ENUM('carga_bateria','consumo_estacion') NOT NULL,
    cantidad_kwh         DECIMAL(10,3)  NOT NULL,
    costo_kwh            DECIMAL(10,2)  NOT NULL,
    total_costo          DECIMAL(14,2) GENERATED ALWAYS AS (ROUND(cantidad_kwh * costo_kwh, 2)) STORED,
    fecha_registro       DATETIME       NOT NULL DEFAULT CURRENT_TIMESTAMP,
    descripcion          VARCHAR(255),
    CONSTRAINT PK_REGISTROS_ENERGIA PRIMARY KEY (id_registro_energia),
    CONSTRAINT FK_ENERGIA_ESTACIONES FOREIGN KEY (id_estacion) REFERENCES ESTACIONES(id_estacion),
    CONSTRAINT FK_ENERGIA_CARGAS     FOREIGN KEY (id_carga)    REFERENCES PROCESOS_CARGA(id_carga),
    CONSTRAINT CK_ENERGIA_KWH   CHECK (cantidad_kwh &gt;= 0),
    CONSTRAINT CK_ENERGIA_COSTO CHECK (costo_kwh &gt;= 0),
    CONSTRAINT CK_ENERGIA_CARGA CHECK (tipo_operacion &lt;&gt; 'carga_bateria' OR id_carga IS NOT NULL)
) ENGINE=InnoDB;</t>
  </si>
  <si>
    <t xml:space="preserve">Generar alertas energéticas</t>
  </si>
  <si>
    <t xml:space="preserve">RF-035</t>
  </si>
  <si>
    <t xml:space="preserve">El sistema debe generar alertas cuando una batería presente un nivel de carga crítico, una condición anormal de funcionamiento o se detecte una situación que requiera revisión.</t>
  </si>
  <si>
    <t xml:space="preserve">RN-035</t>
  </si>
  <si>
    <t xml:space="preserve">Una batería que presente un nivel de carga crítico no deberá estar disponible para nuevos alquileres.</t>
  </si>
  <si>
    <t xml:space="preserve">RI-035</t>
  </si>
  <si>
    <t xml:space="preserve">Tablas: ALERTAS_ENERGIA (RI-035), BATERIAS (RI-031).
CREATE TABLE ALERTAS_ENERGIA (
    id_alerta           INT          NOT NULL AUTO_INCREMENT,
    id_bateria          INT,
    id_estacion         INT,
    id_usuario_atiende  INT,
    tipo                ENUM('carga_critica','condicion_anormal','requiere_revision') NOT NULL,
    mensaje             VARCHAR(255) NOT NULL,
    estado              ENUM('abierta','atendida') NOT NULL DEFAULT 'abierta',
    fecha_generacion    DATETIME     NOT NULL DEFAULT CURRENT_TIMESTAMP,
    fecha_atencion      DATETIME,
    CONSTRAINT PK_ALERTAS_ENERGIA PRIMARY KEY (id_alerta),
    CONSTRAINT FK_ALERTAS_BATERIAS   FOREIGN KEY (id_bateria)         REFERENCES BATERIAS(id_bateria),
    CONSTRAINT FK_ALERTAS_ESTACIONES FOREIGN KEY (id_estacion)        REFERENCES ESTACIONES(id_estacion),
    CONSTRAINT FK_ALERTAS_USUARIOS   FOREIGN KEY (id_usuario_atiende) REFERENCES USUARIOS(id_usuario),
    -- la alerta se refiere a una batería, a una estación o a ambas
    CONSTRAINT CK_ALERTAS_ORIGEN CHECK (id_bateria IS NOT NULL OR id_estacion IS NOT NULL),
    CONSTRAINT CK_ALERTAS_ATENDIDA CHECK (estado &lt;&gt; 'atendida' OR fecha_atencion IS NOT NULL)
) ENGINE=InnoDB;</t>
  </si>
  <si>
    <t xml:space="preserve">Administrador, Superadministrador</t>
  </si>
  <si>
    <t xml:space="preserve">Consultar indicadores de eficiencia energética</t>
  </si>
  <si>
    <t xml:space="preserve">RF-036</t>
  </si>
  <si>
    <t xml:space="preserve">El sistema debe permitir al Administrador y al Super Administrador consultar información histórica sobre consumo energético, costos, tiempos de carga y comportamiento de las estaciones para apoyar la toma de decisiones.</t>
  </si>
  <si>
    <t xml:space="preserve">RN-036</t>
  </si>
  <si>
    <t xml:space="preserve">La información histórica deberá conservarse para facilitar el análisis y la toma de decisiones.</t>
  </si>
  <si>
    <t xml:space="preserve">RI-036</t>
  </si>
  <si>
    <t xml:space="preserve">Tablas: REGISTROS_ENERGIA (RI-034), PROCESOS_CARGA (RI-033), V_CONSUMO_ENERGIA_ESTACION (RI-036).
CREATE VIEW V_CONSUMO_ENERGIA_ESTACION AS
SELECT e.id_estacion, e.nombre AS estacion,
       COALESCE(SUM(r.cantidad_kwh), 0) AS total_kwh,
       COALESCE(SUM(r.total_costo), 0)  AS total_costo
FROM ESTACIONES e
LEFT JOIN REGISTROS_ENERGIA r ON r.id_estacion = e.id_estacion
GROUP BY e.id_estacion, e.nombre;</t>
  </si>
  <si>
    <t xml:space="preserve">Mantenimiento</t>
  </si>
  <si>
    <t xml:space="preserve">Registro de novedades</t>
  </si>
  <si>
    <t xml:space="preserve">RF-037</t>
  </si>
  <si>
    <t xml:space="preserve">El sistema debe permitir al operador registrar una novedad o falla asociada a una bicicleta.</t>
  </si>
  <si>
    <t xml:space="preserve">RN-037</t>
  </si>
  <si>
    <t xml:space="preserve">Solo los usuarios que tengan el rol Operador podrán registrar y gestionar mantenimientos de bicicletas. Una bicicleta reportada por falla debe quedar fuera de servicio hasta ser revisada.</t>
  </si>
  <si>
    <t xml:space="preserve">RI-037</t>
  </si>
  <si>
    <t xml:space="preserve">Tablas: MANTENIMIENTOS (RI-037).
CREATE TABLE MANTENIMIENTOS (
    id_mantenimiento     INT           NOT NULL AUTO_INCREMENT,
    id_bicicleta         INT           NOT NULL,
    id_usuario           INT           NOT NULL,
    tipo                 ENUM('preventivo','correctivo') NOT NULL,
    descripcion          TEXT          NOT NULL,
    actividad_realizada  TEXT,
    fecha_inicio         DATETIME      NOT NULL,
    fecha_fin            DATETIME,
    costo                DECIMAL(10,2),
    estado               ENUM('reportado','en_mantenimiento','finalizado') NOT NULL DEFAULT 'reportado',
    CONSTRAINT PK_MANTENIMIENTOS PRIMARY KEY (id_mantenimiento),
    CONSTRAINT FK_MANTEN_BICICLETAS FOREIGN KEY (id_bicicleta) REFERENCES BICICLETAS(id_bicicleta),
    CONSTRAINT FK_MANTEN_USUARIOS   FOREIGN KEY (id_usuario)   REFERENCES USUARIOS(id_usuario),
    -- RN-040: la fecha de fin no es anterior a la de inicio
    CONSTRAINT CK_MANTEN_FECHAS CHECK (fecha_fin IS NULL OR fecha_fin &gt;= fecha_inicio),
    CONSTRAINT CK_MANTEN_COSTO  CHECK (costo IS NULL OR costo &gt;= 0),
    CONSTRAINT CK_MANTEN_FINALIZADO CHECK (estado &lt;&gt; 'finalizado' OR (fecha_fin IS NOT NULL AND costo IS NOT NULL))
) ENGINE=InnoDB;</t>
  </si>
  <si>
    <t xml:space="preserve">Ingreso a mantenimiento</t>
  </si>
  <si>
    <t xml:space="preserve">RF-038</t>
  </si>
  <si>
    <t xml:space="preserve">El sistema debe permitir al operador registrar el ingreso de una bicicleta al proceso de mantenimiento.</t>
  </si>
  <si>
    <t xml:space="preserve">RN-038</t>
  </si>
  <si>
    <t xml:space="preserve">Una bicicleta cuyo mantenimiento se encuentre en estado en_mantenimiento no podrá ser asignada a un nuevo alquiler.</t>
  </si>
  <si>
    <t xml:space="preserve">RI-038</t>
  </si>
  <si>
    <t xml:space="preserve">Tablas: MANTENIMIENTOS (RI-037), BICICLETAS (RI-027).</t>
  </si>
  <si>
    <t xml:space="preserve">Registro de actividades</t>
  </si>
  <si>
    <t xml:space="preserve">RF-039</t>
  </si>
  <si>
    <t xml:space="preserve">El sistema debe permitir al operador registrar las actividades realizadas durante el mantenimiento de una bicicleta.</t>
  </si>
  <si>
    <t xml:space="preserve">RN-039</t>
  </si>
  <si>
    <t xml:space="preserve">Todo mantenimiento debe estar asociado a una bicicleta y a un usuario responsable de su registro o ejecución.</t>
  </si>
  <si>
    <t xml:space="preserve">RI-039</t>
  </si>
  <si>
    <t xml:space="preserve">Tablas: MANTENIMIENTOS (RI-037).</t>
  </si>
  <si>
    <t xml:space="preserve">Cierre de mantenimiento</t>
  </si>
  <si>
    <t xml:space="preserve">RF-040</t>
  </si>
  <si>
    <t xml:space="preserve">El sistema debe permitir al operador registrar la finalización de un mantenimiento, indicando la fecha de finalización y el costo de la intervención.</t>
  </si>
  <si>
    <t xml:space="preserve">RN-040</t>
  </si>
  <si>
    <t xml:space="preserve">La fecha de finalización no puede ser anterior a la fecha de inicio.</t>
  </si>
  <si>
    <t xml:space="preserve">RI-040</t>
  </si>
  <si>
    <t xml:space="preserve">Administración del Sistema</t>
  </si>
  <si>
    <t xml:space="preserve">Superadministrador</t>
  </si>
  <si>
    <t xml:space="preserve">Gestión de perfiles</t>
  </si>
  <si>
    <t xml:space="preserve">RF-041</t>
  </si>
  <si>
    <t xml:space="preserve">El sistema debe permitir al superadministrador gestionar los perfiles de acceso.</t>
  </si>
  <si>
    <t xml:space="preserve">RN-041</t>
  </si>
  <si>
    <t xml:space="preserve">Cada perfil debe tener permisos definidos.</t>
  </si>
  <si>
    <t xml:space="preserve">RI-041</t>
  </si>
  <si>
    <t xml:space="preserve">Tablas: ROLES (RI-041).
CREATE TABLE ROLES (
    id_rol        INT          NOT NULL AUTO_INCREMENT,
    codigo_rol    VARCHAR(30)  NOT NULL,
    nombre_rol    VARCHAR(60)  NOT NULL,
    nivel_acceso  TINYINT      NOT NULL,
    descripcion   VARCHAR(255),
    CONSTRAINT PK_ROLES PRIMARY KEY (id_rol),
    CONSTRAINT UQ_ROLES_CODIGO UNIQUE (codigo_rol),
    CONSTRAINT CK_ROLES_NIVEL CHECK (nivel_acceso BETWEEN 1 AND 4)
) ENGINE=InnoDB;</t>
  </si>
  <si>
    <t xml:space="preserve">Gestión de permisos</t>
  </si>
  <si>
    <t xml:space="preserve">RF-042</t>
  </si>
  <si>
    <t xml:space="preserve">El sistema debe permitir al superadministrador configurar los permisos de los perfiles.</t>
  </si>
  <si>
    <t xml:space="preserve">RN-042</t>
  </si>
  <si>
    <t xml:space="preserve">Los permisos deben determinar las operaciones disponibles para cada perfil.</t>
  </si>
  <si>
    <t xml:space="preserve">RI-042</t>
  </si>
  <si>
    <t xml:space="preserve">Tablas: PERMISOS (RI-042), ROLES_PERMISOS (RI-042).
CREATE TABLE PERMISOS (
    id_permiso      INT          NOT NULL AUTO_INCREMENT,
    codigo_permiso  VARCHAR(60)  NOT NULL,
    modulo          VARCHAR(60)  NOT NULL,
    descripcion     VARCHAR(255) NOT NULL,
    CONSTRAINT PK_PERMISOS PRIMARY KEY (id_permiso),
    CONSTRAINT UQ_PERMISOS_CODIGO UNIQUE (codigo_permiso)
) ENGINE=InnoDB;
CREATE TABLE ROLES_PERMISOS (
    id_rol      INT NOT NULL,
    id_permiso  INT NOT NULL,
    CONSTRAINT PK_ROLES_PERMISOS PRIMARY KEY (id_rol, id_permiso),
    CONSTRAINT FK_ROLESPERM_ROLES    FOREIGN KEY (id_rol)     REFERENCES ROLES(id_rol),
    CONSTRAINT FK_ROLESPERM_PERMISOS FOREIGN KEY (id_permiso) REFERENCES PERMISOS(id_permiso)
) ENGINE=InnoDB;</t>
  </si>
  <si>
    <t xml:space="preserve">Gestión de niveles de acceso</t>
  </si>
  <si>
    <t xml:space="preserve">RF-043</t>
  </si>
  <si>
    <t xml:space="preserve">El sistema debe permitir al superadministrador administrar los niveles de acceso.</t>
  </si>
  <si>
    <t xml:space="preserve">RN-043</t>
  </si>
  <si>
    <t xml:space="preserve">Los niveles de acceso deben controlar el alcance de las operaciones disponibles.</t>
  </si>
  <si>
    <t xml:space="preserve">RI-043</t>
  </si>
  <si>
    <t xml:space="preserve">Tablas: ROLES (RI-041).</t>
  </si>
  <si>
    <t xml:space="preserve">Configuración general</t>
  </si>
  <si>
    <t xml:space="preserve">RF-044</t>
  </si>
  <si>
    <t xml:space="preserve">El sistema debe permitir al superadministrador configurar parámetros generales de la plataforma.</t>
  </si>
  <si>
    <t xml:space="preserve">RN-044</t>
  </si>
  <si>
    <t xml:space="preserve">Las configuraciones críticas deben estar restringidas al superadministrador.</t>
  </si>
  <si>
    <t xml:space="preserve">RI-044</t>
  </si>
  <si>
    <t xml:space="preserve">Tablas: CONFIGURACION_SISTEMA (RI-044).
CREATE TABLE CONFIGURACION_SISTEMA (
    clave               VARCHAR(60)  NOT NULL,
    valor               VARCHAR(255) NOT NULL,
    descripcion         VARCHAR(255),
    id_usuario_modifica INT,
    fecha_modificacion  TIMESTAMP    NOT NULL DEFAULT CURRENT_TIMESTAMP ON UPDATE CURRENT_TIMESTAMP,
    CONSTRAINT PK_CONFIGURACION PRIMARY KEY (clave),
    CONSTRAINT FK_CONFIG_USUARIOS FOREIGN KEY (id_usuario_modifica) REFERENCES USUARIOS(id_usuario)
) ENGINE=InnoDB;</t>
  </si>
  <si>
    <t xml:space="preserve">REQUISITOS DE INFORMACIÓN – Definición de tablas y vistas (MySQL 8.0)</t>
  </si>
  <si>
    <t xml:space="preserve">Tomado de ebike_modelo.sql. Cada objeto aparece una sola vez, en el requisito donde se usa por primera vez.</t>
  </si>
  <si>
    <t xml:space="preserve">Objeto</t>
  </si>
  <si>
    <t xml:space="preserve">Tipo</t>
  </si>
  <si>
    <t xml:space="preserve">Requisito donde se define</t>
  </si>
  <si>
    <t xml:space="preserve">Definición</t>
  </si>
  <si>
    <t xml:space="preserve">ROLES</t>
  </si>
  <si>
    <t xml:space="preserve">Tabla</t>
  </si>
  <si>
    <t xml:space="preserve">RF-041 / RI-041</t>
  </si>
  <si>
    <t xml:space="preserve">CREATE TABLE ROLES (
    id_rol        INT          NOT NULL AUTO_INCREMENT,
    codigo_rol    VARCHAR(30)  NOT NULL,
    nombre_rol    VARCHAR(60)  NOT NULL,
    nivel_acceso  TINYINT      NOT NULL,
    descripcion   VARCHAR(255),
    CONSTRAINT PK_ROLES PRIMARY KEY (id_rol),
    CONSTRAINT UQ_ROLES_CODIGO UNIQUE (codigo_rol),
    CONSTRAINT CK_ROLES_NIVEL CHECK (nivel_acceso BETWEEN 1 AND 4)
) ENGINE=InnoDB;</t>
  </si>
  <si>
    <t xml:space="preserve">PERMISOS</t>
  </si>
  <si>
    <t xml:space="preserve">RF-042 / RI-042</t>
  </si>
  <si>
    <t xml:space="preserve">CREATE TABLE PERMISOS (
    id_permiso      INT          NOT NULL AUTO_INCREMENT,
    codigo_permiso  VARCHAR(60)  NOT NULL,
    modulo          VARCHAR(60)  NOT NULL,
    descripcion     VARCHAR(255) NOT NULL,
    CONSTRAINT PK_PERMISOS PRIMARY KEY (id_permiso),
    CONSTRAINT UQ_PERMISOS_CODIGO UNIQUE (codigo_permiso)
) ENGINE=InnoDB;</t>
  </si>
  <si>
    <t xml:space="preserve">ROLES_PERMISOS</t>
  </si>
  <si>
    <t xml:space="preserve">CREATE TABLE ROLES_PERMISOS (
    id_rol      INT NOT NULL,
    id_permiso  INT NOT NULL,
    CONSTRAINT PK_ROLES_PERMISOS PRIMARY KEY (id_rol, id_permiso),
    CONSTRAINT FK_ROLESPERM_ROLES    FOREIGN KEY (id_rol)     REFERENCES ROLES(id_rol),
    CONSTRAINT FK_ROLESPERM_PERMISOS FOREIGN KEY (id_permiso) REFERENCES PERMISOS(id_permiso)
) ENGINE=InnoDB;</t>
  </si>
  <si>
    <t xml:space="preserve">USUARIOS</t>
  </si>
  <si>
    <t xml:space="preserve">RF-001 / RI-001</t>
  </si>
  <si>
    <t xml:space="preserve">CREATE TABLE USUARIOS (
    id_usuario     INT          NOT NULL AUTO_INCREMENT,
    id_rol         INT          NOT NULL,
    uuid           CHAR(36)     NOT NULL,
    nombre         VARCHAR(150) NOT NULL,
    email          VARCHAR(150) NOT NULL,
    password_hash  VARCHAR(255) NOT NULL,
    telefono       VARCHAR(20),
    estado         ENUM('activo','inactivo','suspendido') NOT NULL DEFAULT 'activo',
    fecha_registro TIMESTAMP    NOT NULL DEFAULT CURRENT_TIMESTAMP,
    CONSTRAINT PK_USUARIOS PRIMARY KEY (id_usuario),
    CONSTRAINT UQ_USUARIOS_EMAIL UNIQUE (email),
    CONSTRAINT UQ_USUARIOS_UUID  UNIQUE (uuid),
    CONSTRAINT FK_USUARIOS_ROLES FOREIGN KEY (id_rol) REFERENCES ROLES(id_rol)
) ENGINE=InnoDB;</t>
  </si>
  <si>
    <t xml:space="preserve">CONFIGURACION_SISTEMA</t>
  </si>
  <si>
    <t xml:space="preserve">RF-044 / RI-044</t>
  </si>
  <si>
    <t xml:space="preserve">CREATE TABLE CONFIGURACION_SISTEMA (
    clave               VARCHAR(60)  NOT NULL,
    valor               VARCHAR(255) NOT NULL,
    descripcion         VARCHAR(255),
    id_usuario_modifica INT,
    fecha_modificacion  TIMESTAMP    NOT NULL DEFAULT CURRENT_TIMESTAMP ON UPDATE CURRENT_TIMESTAMP,
    CONSTRAINT PK_CONFIGURACION PRIMARY KEY (clave),
    CONSTRAINT FK_CONFIG_USUARIOS FOREIGN KEY (id_usuario_modifica) REFERENCES USUARIOS(id_usuario)
) ENGINE=InnoDB;</t>
  </si>
  <si>
    <t xml:space="preserve">AUDITORIA</t>
  </si>
  <si>
    <t xml:space="preserve">RNF-012 (sin RF propio)</t>
  </si>
  <si>
    <t xml:space="preserve">CREATE TABLE AUDITORIA (
    id_auditoria  BIGINT      NOT NULL AUTO_INCREMENT,
    id_usuario    INT,
    tabla         VARCHAR(60) NOT NULL,
    id_registro   BIGINT      NOT NULL,
    accion        ENUM('INSERT','UPDATE','DELETE') NOT NULL,
    detalle       TEXT,
    fecha_evento  TIMESTAMP   NOT NULL DEFAULT CURRENT_TIMESTAMP,
    CONSTRAINT PK_AUDITORIA PRIMARY KEY (id_auditoria),
    CONSTRAINT FK_AUDITORIA_USUARIOS FOREIGN KEY (id_usuario) REFERENCES USUARIOS(id_usuario)
) ENGINE=InnoDB;</t>
  </si>
  <si>
    <t xml:space="preserve">ESTACIONES</t>
  </si>
  <si>
    <t xml:space="preserve">RF-023 / RI-023</t>
  </si>
  <si>
    <t xml:space="preserve">CREATE TABLE ESTACIONES (
    id_estacion  INT           NOT NULL AUTO_INCREMENT,
    codigo       VARCHAR(50)   NOT NULL,
    nombre       VARCHAR(100)  NOT NULL,
    direccion    VARCHAR(255),
    latitud      DECIMAL(9,6)  NOT NULL,
    longitud     DECIMAL(9,6)  NOT NULL,
    capacidad    INT           NOT NULL,
    estado       ENUM('operativa','mantenimiento','inactiva') NOT NULL DEFAULT 'operativa',
    CONSTRAINT PK_ESTACIONES PRIMARY KEY (id_estacion),
    CONSTRAINT UQ_ESTACIONES_CODIGO UNIQUE (codigo),
    CONSTRAINT CK_ESTACIONES_CAPACIDAD CHECK (capacidad &gt; 0),
    CONSTRAINT CK_ESTACIONES_LAT CHECK (latitud  BETWEEN -90  AND 90),
    CONSTRAINT CK_ESTACIONES_LON CHECK (longitud BETWEEN -180 AND 180)
) ENGINE=InnoDB;</t>
  </si>
  <si>
    <t xml:space="preserve">BICICLETAS</t>
  </si>
  <si>
    <t xml:space="preserve">RF-027 / RI-027</t>
  </si>
  <si>
    <t xml:space="preserve">CREATE TABLE BICICLETAS (
    id_bicicleta           INT           NOT NULL AUTO_INCREMENT,
    id_estacion            INT,
    codigo_qr              VARCHAR(100)  NOT NULL,
    num_serie              VARCHAR(100)  NOT NULL,
    modelo                 VARCHAR(100),
    estado                 ENUM('disponible','en_uso','mantenimiento','baja') NOT NULL DEFAULT 'disponible',
    kilometraje            DECIMAL(10,2) NOT NULL DEFAULT 0.00,
    proximo_mantenimiento  DATE,
    CONSTRAINT PK_BICICLETAS PRIMARY KEY (id_bicicleta),
    CONSTRAINT UQ_BICICLETAS_QR    UNIQUE (codigo_qr),
    CONSTRAINT UQ_BICICLETAS_SERIE UNIQUE (num_serie),
    CONSTRAINT FK_BICICLETAS_ESTACIONES FOREIGN KEY (id_estacion) REFERENCES ESTACIONES(id_estacion),
    CONSTRAINT CK_BICICLETAS_KM CHECK (kilometraje &gt;= 0),
    -- RN-028: una bicicleta disponible siempre está asociada a una estación
    CONSTRAINT CK_BICICLETAS_DISPONIBLE CHECK (estado &lt;&gt; 'disponible' OR id_estacion IS NOT NULL)
) ENGINE=InnoDB;</t>
  </si>
  <si>
    <t xml:space="preserve">METODOS_PAGO</t>
  </si>
  <si>
    <t xml:space="preserve">RF-013 / RI-013</t>
  </si>
  <si>
    <t xml:space="preserve">CREATE TABLE METODOS_PAGO (
    id_metodo_pago  INT          NOT NULL AUTO_INCREMENT,
    id_usuario      INT          NOT NULL,
    tipo            ENUM('tarjeta_credito','tarjeta_debito','transferencia','billetera_digital') NOT NULL,
    token_hash      VARCHAR(255) NOT NULL,
    ultimos_cuatro  CHAR(4),
    activo          BOOLEAN      NOT NULL DEFAULT TRUE,
    fecha_creacion  TIMESTAMP    NOT NULL DEFAULT CURRENT_TIMESTAMP,
    CONSTRAINT PK_METODOS_PAGO PRIMARY KEY (id_metodo_pago),
    CONSTRAINT UQ_METODOS_PAGO_TOKEN UNIQUE (token_hash),
    CONSTRAINT FK_METODOS_PAGO_USUARIOS FOREIGN KEY (id_usuario) REFERENCES USUARIOS(id_usuario)
) ENGINE=InnoDB;</t>
  </si>
  <si>
    <t xml:space="preserve">TARIFAS</t>
  </si>
  <si>
    <t xml:space="preserve">RF-012 / RI-012</t>
  </si>
  <si>
    <t xml:space="preserve">CREATE TABLE TARIFAS (
    id_tarifa      INT           NOT NULL AUTO_INCREMENT,
    nombre         VARCHAR(80)   NOT NULL,
    tarifa_base    DECIMAL(10,2) NOT NULL DEFAULT 0.00,
    valor_minuto   DECIMAL(10,2) NOT NULL,
    vigente_desde  DATE          NOT NULL,
    vigente_hasta  DATE,
    activa         BOOLEAN       NOT NULL DEFAULT TRUE,
    CONSTRAINT PK_TARIFAS PRIMARY KEY (id_tarifa),
    CONSTRAINT CK_TARIFAS_BASE   CHECK (tarifa_base &gt;= 0),
    CONSTRAINT CK_TARIFAS_MINUTO CHECK (valor_minuto &gt; 0),
    CONSTRAINT CK_TARIFAS_VIGENCIA CHECK (vigente_hasta IS NULL OR vigente_hasta &gt;= vigente_desde)
) ENGINE=InnoDB;</t>
  </si>
  <si>
    <t xml:space="preserve">ALQUILERES</t>
  </si>
  <si>
    <t xml:space="preserve">RF-009 / RI-009</t>
  </si>
  <si>
    <t xml:space="preserve">CREATE TABLE ALQUILERES (
    id_alquiler          INT           NOT NULL AUTO_INCREMENT,
    id_usuario           INT           NOT NULL,
    id_bicicleta         INT           NOT NULL,
    id_estacion_origen   INT           NOT NULL,
    id_estacion_destino  INT,
    id_tarifa            INT           NOT NULL,
    uuid_alquiler        CHAR(36)      NOT NULL,
    fecha_inicio         DATETIME      NOT NULL,
    fecha_fin            DATETIME,
    duracion_minutos     INT GENERATED ALWAYS AS (TIMESTAMPDIFF(MINUTE, fecha_inicio, fecha_fin)) STORED,
    costo_total          DECIMAL(10,2),
    estado               ENUM('activo','completado','cancelado','incidencia') NOT NULL DEFAULT 'activo',
    -- RN-008: una bicicleta no puede tener dos alquileres activos (NULL no choca en UNIQUE)
    bicicleta_activa     INT GENERATED ALWAYS AS (CASE WHEN estado = 'activo' THEN id_bicicleta END) STORED,
    CONSTRAINT PK_ALQUILERES PRIMARY KEY (id_alquiler),
    CONSTRAINT UQ_ALQUILERES_UUID UNIQUE (uuid_alquiler),
    CONSTRAINT UQ_ALQUILERES_BICI_ACTIVA UNIQUE (bicicleta_activa),
    CONSTRAINT FK_ALQUILERES_USUARIOS   FOREIGN KEY (id_usuario)          REFERENCES USUARIOS(id_usuario),
    CONSTRAINT FK_ALQUILERES_BICICLETAS FOREIGN KEY (id_bicicleta)        REFERENCES BICICLETAS(id_bicicleta),
    CONSTRAINT FK_ALQUILERES_ORIGEN     FOREIGN KEY (id_estacion_origen)  REFERENCES ESTACIONES(id_estacion),
    CONSTRAINT FK_ALQUILERES_DESTINO    FOREIGN KEY (id_estacion_destino) REFERENCES ESTACIONES(id_estacion),
    CONSTRAINT FK_ALQUILERES_TARIFAS    FOREIGN KEY (id_tarifa)           REFERENCES TARIFAS(id_tarifa),
    -- RN-011: el fin es posterior al inicio
    CONSTRAINT CK_ALQUILERES_FECHAS CHECK (fecha_fin IS NULL OR fecha_fin &gt; fecha_inicio),
    CONSTRAINT CK_ALQUILERES_COSTO  CHECK (costo_total IS NULL OR costo_total &gt;= 0),
    -- RN-010: un alquiler completado registra fin, destino y costo
    CONSTRAINT CK_ALQUILERES_COMPLETADO CHECK (estado &lt;&gt; 'completado'
        OR (fecha_fin IS NOT NULL AND id_estacion_destino IS NOT NULL AND costo_total IS NOT NULL))
) ENGINE=InnoDB;</t>
  </si>
  <si>
    <t xml:space="preserve">TRANSACCIONES</t>
  </si>
  <si>
    <t xml:space="preserve">RF-014 / RI-014</t>
  </si>
  <si>
    <t xml:space="preserve">CREATE TABLE TRANSACCIONES (
    id_transaccion  INT           NOT NULL AUTO_INCREMENT,
    id_alquiler     INT           NOT NULL,
    id_metodo_pago  INT           NOT NULL,
    monto           DECIMAL(10,2) NOT NULL,
    estado_pago     ENUM('pendiente','aprobado','rechazado','reembolsado') NOT NULL DEFAULT 'pendiente',
    referencia_ext  VARCHAR(100),
    fecha_proceso   DATETIME,
    CONSTRAINT PK_TRANSACCIONES PRIMARY KEY (id_transaccion),
    -- RN-014: un alquiler genera una única transacción
    CONSTRAINT UQ_TRANSACCIONES_ALQUILER UNIQUE (id_alquiler),
    CONSTRAINT FK_TRANSACCIONES_ALQUILERES FOREIGN KEY (id_alquiler)    REFERENCES ALQUILERES(id_alquiler),
    CONSTRAINT FK_TRANSACCIONES_METODOS    FOREIGN KEY (id_metodo_pago) REFERENCES METODOS_PAGO(id_metodo_pago),
    CONSTRAINT CK_TRANSACCIONES_MONTO CHECK (monto &gt;= 0)
) ENGINE=InnoDB;</t>
  </si>
  <si>
    <t xml:space="preserve">MANTENIMIENTOS</t>
  </si>
  <si>
    <t xml:space="preserve">RF-037 / RI-037</t>
  </si>
  <si>
    <t xml:space="preserve">CREATE TABLE MANTENIMIENTOS (
    id_mantenimiento     INT           NOT NULL AUTO_INCREMENT,
    id_bicicleta         INT           NOT NULL,
    id_usuario           INT           NOT NULL,
    tipo                 ENUM('preventivo','correctivo') NOT NULL,
    descripcion          TEXT          NOT NULL,
    actividad_realizada  TEXT,
    fecha_inicio         DATETIME      NOT NULL,
    fecha_fin            DATETIME,
    costo                DECIMAL(10,2),
    estado               ENUM('reportado','en_mantenimiento','finalizado') NOT NULL DEFAULT 'reportado',
    CONSTRAINT PK_MANTENIMIENTOS PRIMARY KEY (id_mantenimiento),
    CONSTRAINT FK_MANTEN_BICICLETAS FOREIGN KEY (id_bicicleta) REFERENCES BICICLETAS(id_bicicleta),
    CONSTRAINT FK_MANTEN_USUARIOS   FOREIGN KEY (id_usuario)   REFERENCES USUARIOS(id_usuario),
    -- RN-040: la fecha de fin no es anterior a la de inicio
    CONSTRAINT CK_MANTEN_FECHAS CHECK (fecha_fin IS NULL OR fecha_fin &gt;= fecha_inicio),
    CONSTRAINT CK_MANTEN_COSTO  CHECK (costo IS NULL OR costo &gt;= 0),
    CONSTRAINT CK_MANTEN_FINALIZADO CHECK (estado &lt;&gt; 'finalizado' OR (fecha_fin IS NOT NULL AND costo IS NOT NULL))
) ENGINE=InnoDB;</t>
  </si>
  <si>
    <t xml:space="preserve">BATERIAS</t>
  </si>
  <si>
    <t xml:space="preserve">RF-031 / RI-031</t>
  </si>
  <si>
    <t xml:space="preserve">CREATE TABLE BATERIAS (
    id_bateria         INT           NOT NULL AUTO_INCREMENT,
    id_bicicleta       INT           NOT NULL,
    codigo_bateria     VARCHAR(100)  NOT NULL,
    capacidad_wh       DECIMAL(10,2) NOT NULL,
    nivel_carga        DECIMAL(5,2)  NOT NULL DEFAULT 100.00,
    temperatura        DECIMAL(5,2),
    estado             ENUM('disponible','cargando','cargada','baja','averiada') NOT NULL DEFAULT 'disponible',
    fecha_instalacion  DATE          NOT NULL,
    vida_util          INT,
    CONSTRAINT PK_BATERIAS PRIMARY KEY (id_bateria),
    CONSTRAINT UQ_BATERIAS_CODIGO    UNIQUE (codigo_bateria),
    -- cada bicicleta tiene una batería instalada (relación 1:1)
    CONSTRAINT UQ_BATERIAS_BICICLETA UNIQUE (id_bicicleta),
    CONSTRAINT FK_BATERIAS_BICICLETAS FOREIGN KEY (id_bicicleta) REFERENCES BICICLETAS(id_bicicleta),
    CONSTRAINT CK_BATERIAS_CAPACIDAD CHECK (capacidad_wh &gt; 0),
    -- RN-031: el nivel de carga está entre 0 % y 100 %
    CONSTRAINT CK_BATERIAS_NIVEL CHECK (nivel_carga BETWEEN 0 AND 100),
    CONSTRAINT CK_BATERIAS_VIDA  CHECK (vida_util IS NULL OR vida_util &gt; 0)
) ENGINE=InnoDB;</t>
  </si>
  <si>
    <t xml:space="preserve">PROCESOS_CARGA</t>
  </si>
  <si>
    <t xml:space="preserve">RF-033 / RI-033</t>
  </si>
  <si>
    <t xml:space="preserve">CREATE TABLE PROCESOS_CARGA (
    id_carga          INT          NOT NULL AUTO_INCREMENT,
    id_bateria        INT          NOT NULL,
    id_estacion       INT          NOT NULL,
    fecha_inicio      DATETIME     NOT NULL,
    fecha_fin         DATETIME,
    duracion_minutos  INT GENERATED ALWAYS AS (TIMESTAMPDIFF(MINUTE, fecha_inicio, fecha_fin)) STORED,
    nivel_inicial     DECIMAL(5,2) NOT NULL,
    nivel_final       DECIMAL(5,2),
    CONSTRAINT PK_PROCESOS_CARGA PRIMARY KEY (id_carga),
    CONSTRAINT FK_CARGA_BATERIAS   FOREIGN KEY (id_bateria)  REFERENCES BATERIAS(id_bateria),
    CONSTRAINT FK_CARGA_ESTACIONES FOREIGN KEY (id_estacion) REFERENCES ESTACIONES(id_estacion),
    -- RN-033: toda carga registra inicio y, al terminar, un fin posterior
    CONSTRAINT CK_CARGA_FECHAS  CHECK (fecha_fin IS NULL OR fecha_fin &gt; fecha_inicio),
    CONSTRAINT CK_CARGA_NIVELES CHECK (nivel_inicial BETWEEN 0 AND 100
        AND (nivel_final IS NULL OR nivel_final BETWEEN 0 AND 100))
) ENGINE=InnoDB;</t>
  </si>
  <si>
    <t xml:space="preserve">REGISTROS_ENERGIA</t>
  </si>
  <si>
    <t xml:space="preserve">RF-034 / RI-034</t>
  </si>
  <si>
    <t xml:space="preserve">CREATE TABLE REGISTROS_ENERGIA (
    id_registro_energia  INT            NOT NULL AUTO_INCREMENT,
    id_estacion          INT            NOT NULL,
    id_carga             INT,
    tipo_operacion       ENUM('carga_bateria','consumo_estacion') NOT NULL,
    cantidad_kwh         DECIMAL(10,3)  NOT NULL,
    costo_kwh            DECIMAL(10,2)  NOT NULL,
    total_costo          DECIMAL(14,2) GENERATED ALWAYS AS (ROUND(cantidad_kwh * costo_kwh, 2)) STORED,
    fecha_registro       DATETIME       NOT NULL DEFAULT CURRENT_TIMESTAMP,
    descripcion          VARCHAR(255),
    CONSTRAINT PK_REGISTROS_ENERGIA PRIMARY KEY (id_registro_energia),
    CONSTRAINT FK_ENERGIA_ESTACIONES FOREIGN KEY (id_estacion) REFERENCES ESTACIONES(id_estacion),
    CONSTRAINT FK_ENERGIA_CARGAS     FOREIGN KEY (id_carga)    REFERENCES PROCESOS_CARGA(id_carga),
    CONSTRAINT CK_ENERGIA_KWH   CHECK (cantidad_kwh &gt;= 0),
    CONSTRAINT CK_ENERGIA_COSTO CHECK (costo_kwh &gt;= 0),
    CONSTRAINT CK_ENERGIA_CARGA CHECK (tipo_operacion &lt;&gt; 'carga_bateria' OR id_carga IS NOT NULL)
) ENGINE=InnoDB;</t>
  </si>
  <si>
    <t xml:space="preserve">ALERTAS_ENERGIA</t>
  </si>
  <si>
    <t xml:space="preserve">RF-035 / RI-035</t>
  </si>
  <si>
    <t xml:space="preserve">CREATE TABLE ALERTAS_ENERGIA (
    id_alerta           INT          NOT NULL AUTO_INCREMENT,
    id_bateria          INT,
    id_estacion         INT,
    id_usuario_atiende  INT,
    tipo                ENUM('carga_critica','condicion_anormal','requiere_revision') NOT NULL,
    mensaje             VARCHAR(255) NOT NULL,
    estado              ENUM('abierta','atendida') NOT NULL DEFAULT 'abierta',
    fecha_generacion    DATETIME     NOT NULL DEFAULT CURRENT_TIMESTAMP,
    fecha_atencion      DATETIME,
    CONSTRAINT PK_ALERTAS_ENERGIA PRIMARY KEY (id_alerta),
    CONSTRAINT FK_ALERTAS_BATERIAS   FOREIGN KEY (id_bateria)         REFERENCES BATERIAS(id_bateria),
    CONSTRAINT FK_ALERTAS_ESTACIONES FOREIGN KEY (id_estacion)        REFERENCES ESTACIONES(id_estacion),
    CONSTRAINT FK_ALERTAS_USUARIOS   FOREIGN KEY (id_usuario_atiende) REFERENCES USUARIOS(id_usuario),
    -- la alerta se refiere a una batería, a una estación o a ambas
    CONSTRAINT CK_ALERTAS_ORIGEN CHECK (id_bateria IS NOT NULL OR id_estacion IS NOT NULL),
    CONSTRAINT CK_ALERTAS_ATENDIDA CHECK (estado &lt;&gt; 'atendida' OR fecha_atencion IS NOT NULL)
) ENGINE=InnoDB;</t>
  </si>
  <si>
    <t xml:space="preserve">V_BICICLETAS_DISPONIBLES</t>
  </si>
  <si>
    <t xml:space="preserve">Vista</t>
  </si>
  <si>
    <t xml:space="preserve">RF-007 / RI-007</t>
  </si>
  <si>
    <t xml:space="preserve">CREATE VIEW V_BICICLETAS_DISPONIBLES AS
SELECT b.id_bicicleta, b.codigo_qr, b.modelo,
       e.id_estacion, e.nombre AS estacion,
       bt.nivel_carga
FROM BICICLETAS b
JOIN ESTACIONES e ON e.id_estacion = b.id_estacion AND e.estado = 'operativa'
JOIN BATERIAS bt  ON bt.id_bicicleta = b.id_bicicleta AND bt.estado NOT IN ('baja','averiada')
WHERE b.estado = 'disponible'
  AND bt.nivel_carga &gt;= (SELECT CAST(valor AS DECIMAL(5,2))
                         FROM CONFIGURACION_SISTEMA
                         WHERE clave = 'bateria_minima_alquiler');</t>
  </si>
  <si>
    <t xml:space="preserve">V_CONSUMO_ENERGIA_ESTACION</t>
  </si>
  <si>
    <t xml:space="preserve">RF-036 / RI-036</t>
  </si>
  <si>
    <t xml:space="preserve">CREATE VIEW V_CONSUMO_ENERGIA_ESTACION AS
SELECT e.id_estacion, e.nombre AS estacion,
       COALESCE(SUM(r.cantidad_kwh), 0) AS total_kwh,
       COALESCE(SUM(r.total_costo), 0)  AS total_costo
FROM ESTACIONES e
LEFT JOIN REGISTROS_ENERGIA r ON r.id_estacion = e.id_estacion
GROUP BY e.id_estacion, e.nombre;</t>
  </si>
  <si>
    <t xml:space="preserve">REQUISITOS NO FUNCIONALES</t>
  </si>
  <si>
    <t xml:space="preserve">Atributo</t>
  </si>
  <si>
    <t xml:space="preserve">RNF-001</t>
  </si>
  <si>
    <t xml:space="preserve">El sistema debe procesar las solicitudes de inicio y finalización de alquileres en un tiempo de respuesta menor a 2 segundos bajo condiciones normales.</t>
  </si>
  <si>
    <t xml:space="preserve">RENDIMIENTO</t>
  </si>
  <si>
    <t xml:space="preserve">RNF-002</t>
  </si>
  <si>
    <t xml:space="preserve">Las consultas realizadas por los dashboards administrativos (Chart.js) no deben tardar más de 3 segundos en renderizar los datos históricos.</t>
  </si>
  <si>
    <t xml:space="preserve">RNF-003</t>
  </si>
  <si>
    <t xml:space="preserve">El backend desarrollado en PHP 8.2 debe soportar al menos 1000 usuarios concurrentes realizando peticiones simultáneas sin degradar el servicio.</t>
  </si>
  <si>
    <t xml:space="preserve">RNF-004</t>
  </si>
  <si>
    <t xml:space="preserve">El tamaño de las respuestas API REST en formato JSON debe optimizarse para no superar los 500 KB por petición estándar de mapas o listas.</t>
  </si>
  <si>
    <t xml:space="preserve">RNF-005</t>
  </si>
  <si>
    <t xml:space="preserve">Todas las contraseñas de los usuarios deben encriptarse obligatoriamente en la base de datos MySQL 8.0 utilizando el algoritmo robusto bcrypt (password_hash).</t>
  </si>
  <si>
    <t xml:space="preserve">SEGURIDAD</t>
  </si>
  <si>
    <t xml:space="preserve">RNF-006</t>
  </si>
  <si>
    <t xml:space="preserve">Los datos sensibles de los métodos de pago (tarjetas) deben almacenarse de forma tokenizada mediante hash (token_hash) cumpliendo con el estándar PCI-DSS.</t>
  </si>
  <si>
    <t xml:space="preserve">RNF-007</t>
  </si>
  <si>
    <t xml:space="preserve">El sistema debe implementar un Middleware de autenticación basado en JWT (JSON Web Tokens) para validar la identidad de los usuarios en cada endpoint protegido.</t>
  </si>
  <si>
    <t xml:space="preserve">FIABILIDAD</t>
  </si>
  <si>
    <t xml:space="preserve">RNF-008</t>
  </si>
  <si>
    <t xml:space="preserve">El motor de la base de datos (InnoDB) debe garantizar transacciones con propiedades ACID completas para evitar duplicidad o fallos en el cobro de alquileres.</t>
  </si>
  <si>
    <t xml:space="preserve">RNF-009</t>
  </si>
  <si>
    <t xml:space="preserve">La plataforma web orientada a la gestión B2C debe garantizar una disponibilidad operativa del 99.9% (High Availability) durante todo el año.</t>
  </si>
  <si>
    <t xml:space="preserve">DISPONIBILIDAD</t>
  </si>
  <si>
    <t xml:space="preserve">RNF-010</t>
  </si>
  <si>
    <t xml:space="preserve">El sistema debe contar con un mecanismo de conmutación por error (failover) que permita restaurar el servicio en menos de 15 minutos ante una caída del servidor principal.</t>
  </si>
  <si>
    <t xml:space="preserve">RNF-011</t>
  </si>
  <si>
    <t xml:space="preserve">El código fuente del sistema debe implementarse siguiendo estrictamente el patrón arquitectónico MVC (Modelo-Vista-Controlador) para facilitar su modularidad.</t>
  </si>
  <si>
    <t xml:space="preserve">MANTENIBILIDAD</t>
  </si>
  <si>
    <t xml:space="preserve">RNF-012</t>
  </si>
  <si>
    <t xml:space="preserve">La base de datos debe estar normalizada hasta la Tercera Forma Normal (3FN) y contar con triggers automáticos para el registro de logs y auditorías.</t>
  </si>
  <si>
    <t xml:space="preserve">RNF-013</t>
  </si>
  <si>
    <t xml:space="preserve">El backend del sistema debe ser empaquetable y ejecutable en cualquier entorno de servidor que soporte PHP 8.2 y Composer sin requerir cambios de código.</t>
  </si>
  <si>
    <t xml:space="preserve">PORTABILIDAD</t>
  </si>
  <si>
    <t xml:space="preserve">RNF-014</t>
  </si>
  <si>
    <t xml:space="preserve">La tabla alquileres de la base de datos debe estructurarse mediante particionamiento por rango mensual para soportar el crecimiento masivo de datos históricos.</t>
  </si>
  <si>
    <t xml:space="preserve">ESCALABILIDAD</t>
  </si>
  <si>
    <t xml:space="preserve">RNF-015</t>
  </si>
  <si>
    <t xml:space="preserve">La arquitectura debe permitir integrar de forma transparente una capa de caché (Redis 7.x) en una Fase 2 para mitigar la carga de consultas frecuentes a MySQL.</t>
  </si>
  <si>
    <t xml:space="preserve">RNF-016</t>
  </si>
  <si>
    <t xml:space="preserve">La interfaz gráfica de usuario construida con Bootstrap 5.3 debe ser 100% responsive, adaptándose correctamente a dispositivos móviles, tablets y PCs.</t>
  </si>
  <si>
    <t xml:space="preserve">USABILIDAD</t>
  </si>
  <si>
    <t xml:space="preserve">RNF-017</t>
  </si>
  <si>
    <t xml:space="preserve">El sistema web debe cumplir con las pautas de accesibilidad WCAG 2.1, garantizando contrastes adecuados y navegación intuitiva para todo tipo de usuarios.</t>
  </si>
  <si>
    <t xml:space="preserve">Requisito</t>
  </si>
  <si>
    <t xml:space="preserve">Casos de Uso (A)</t>
  </si>
  <si>
    <t xml:space="preserve">Cls_Rental (Métodos / Backend)</t>
  </si>
  <si>
    <t xml:space="preserve">Pruebas</t>
  </si>
  <si>
    <t xml:space="preserve">Trazabilidad</t>
  </si>
  <si>
    <t xml:space="preserve">Nro. / Subproceso</t>
  </si>
  <si>
    <t xml:space="preserve">CU 1.1</t>
  </si>
  <si>
    <t xml:space="preserve">CU 1.2</t>
  </si>
  <si>
    <t xml:space="preserve">CU 1.3</t>
  </si>
  <si>
    <t xml:space="preserve">CU 1.4</t>
  </si>
  <si>
    <t xml:space="preserve">CU 1.5</t>
  </si>
  <si>
    <t xml:space="preserve">CU 1.6</t>
  </si>
  <si>
    <t xml:space="preserve">CU 1.7</t>
  </si>
  <si>
    <t xml:space="preserve">CU 1.8</t>
  </si>
  <si>
    <t xml:space="preserve">CU 1.9</t>
  </si>
  <si>
    <t xml:space="preserve">CU 1.10</t>
  </si>
  <si>
    <t xml:space="preserve">validateUser</t>
  </si>
  <si>
    <t xml:space="preserve">startRental</t>
  </si>
  <si>
    <t xml:space="preserve">endRental</t>
  </si>
  <si>
    <t xml:space="preserve">calculateFee</t>
  </si>
  <si>
    <t xml:space="preserve">Caja Blanca</t>
  </si>
  <si>
    <t xml:space="preserve">Caja Negra</t>
  </si>
  <si>
    <t xml:space="preserve">Pruebas Integración</t>
  </si>
  <si>
    <t xml:space="preserve">Petición Cambios</t>
  </si>
  <si>
    <t xml:space="preserve">RF-001 – Registro de usuarios</t>
  </si>
  <si>
    <t xml:space="preserve">X</t>
  </si>
  <si>
    <t xml:space="preserve">RF-002 – Autenticación</t>
  </si>
  <si>
    <t xml:space="preserve">RF-003 – Validación de datos</t>
  </si>
  <si>
    <t xml:space="preserve">RF-004 – Seguridad de credenciales</t>
  </si>
  <si>
    <t xml:space="preserve">RF-005 – Consulta de datos personales</t>
  </si>
  <si>
    <t xml:space="preserve">RF-006 – Actualización de datos personales</t>
  </si>
  <si>
    <t xml:space="preserve">RF-007 – Consulta de disponibilidad</t>
  </si>
  <si>
    <t xml:space="preserve">RF-008 – Inicio de alquiler</t>
  </si>
  <si>
    <t xml:space="preserve">RF-009 – Registro de alquiler</t>
  </si>
  <si>
    <t xml:space="preserve">RF-010 – Finalización de alquiler</t>
  </si>
  <si>
    <t xml:space="preserve">RF-011 – Cierre de alquiler</t>
  </si>
  <si>
    <t xml:space="preserve">RF-012 – Cálculo de tarifa</t>
  </si>
  <si>
    <t xml:space="preserve">RF-013 – Registro de medios de pago</t>
  </si>
  <si>
    <t xml:space="preserve">RF-014 – Registro de pagos</t>
  </si>
  <si>
    <t xml:space="preserve">RF-015 – Consulta de pagos</t>
  </si>
  <si>
    <t xml:space="preserve">RF-016 – Consulta de historial</t>
  </si>
  <si>
    <t xml:space="preserve">RF-017 – Registro de usuarios administrativos</t>
  </si>
  <si>
    <t xml:space="preserve">RF-018 – Consulta de usuarios</t>
  </si>
  <si>
    <t xml:space="preserve">RF-019 – Actualización de usuarios</t>
  </si>
  <si>
    <t xml:space="preserve">RF-020 – Desactivación de usuarios</t>
  </si>
  <si>
    <t xml:space="preserve">RF-021 – Consulta de bicicletas</t>
  </si>
  <si>
    <t xml:space="preserve">RF-022 – Actualización de bicicletas</t>
  </si>
  <si>
    <t xml:space="preserve">RF-023 – Registro de estaciones</t>
  </si>
  <si>
    <t xml:space="preserve">RF-024 – Consulta de estaciones</t>
  </si>
  <si>
    <t xml:space="preserve">RF-025 – Consulta de información histórica</t>
  </si>
  <si>
    <t xml:space="preserve">RF-026 – Generación de reportes</t>
  </si>
  <si>
    <t xml:space="preserve">RF-027 – Registro de bicicletas</t>
  </si>
  <si>
    <t xml:space="preserve">RF-028 – Asignación de bicicletas</t>
  </si>
  <si>
    <t xml:space="preserve">RF-029 – Consulta de características</t>
  </si>
  <si>
    <t xml:space="preserve">RF-030 – Actualización de estado</t>
  </si>
  <si>
    <t xml:space="preserve">RF-031 – Registro de baterías</t>
  </si>
  <si>
    <t xml:space="preserve">RF-032 – Consultar estado de baterías</t>
  </si>
  <si>
    <t xml:space="preserve">RF-033 – Consultar tiempos de carga</t>
  </si>
  <si>
    <t xml:space="preserve">RF-034 – Consultar consumo energético</t>
  </si>
  <si>
    <t xml:space="preserve">RF-035 – Generar alertas energéticas</t>
  </si>
  <si>
    <t xml:space="preserve">RF-036 – Consultar indicadores de eficiencia energética</t>
  </si>
  <si>
    <t xml:space="preserve">RF-037 – Registro de novedades</t>
  </si>
  <si>
    <t xml:space="preserve">RF-038 – Ingreso a mantenimiento</t>
  </si>
  <si>
    <t xml:space="preserve">RF-039 – Registro de actividades</t>
  </si>
  <si>
    <t xml:space="preserve">RF-040 – Cierre de mantenimiento</t>
  </si>
  <si>
    <t xml:space="preserve">RF-041 – Gestión de perfiles</t>
  </si>
  <si>
    <t xml:space="preserve">RF-042 – Gestión de permisos</t>
  </si>
  <si>
    <t xml:space="preserve">RF-043 – Gestión de niveles de acceso</t>
  </si>
  <si>
    <t xml:space="preserve">RF-044 – Configuración general</t>
  </si>
  <si>
    <t xml:space="preserve">Total de requisitos trazados</t>
  </si>
  <si>
    <t xml:space="preserve">Convenciones y Mapeo del Sistema EMS:</t>
  </si>
  <si>
    <t xml:space="preserve">1. Casos de Uso (CU) definidos para el Challenge:</t>
  </si>
  <si>
    <t xml:space="preserve">CU 1.1: Gestionar usuarios y roles (IAM). Incluye perfiles, permisos, niveles de acceso y configuración general (RF-041 a RF-044).</t>
  </si>
  <si>
    <t xml:space="preserve">CU 1.2: Iniciar / Cerrar sesión (JWT).</t>
  </si>
  <si>
    <t xml:space="preserve">CU 1.3: Administrar estaciones de recarga urbana.</t>
  </si>
  <si>
    <t xml:space="preserve">CU 1.4: Administrar inventario de bicicletas eléctricas (Códigos QR).</t>
  </si>
  <si>
    <t xml:space="preserve">CU 1.5: Realizar reserva y desbloqueo de eBike en tiempo real.</t>
  </si>
  <si>
    <t xml:space="preserve">CU 1.6: Registrar y tokenizar métodos de pago.</t>
  </si>
  <si>
    <t xml:space="preserve">CU 1.7: Finalizar alquiler, calcular tarifa dinámica y procesar cobro.</t>
  </si>
  <si>
    <t xml:space="preserve">CU 1.8 (nuevo): Gestionar mantenimiento de bicicletas.</t>
  </si>
  <si>
    <t xml:space="preserve">CU 1.9 (nuevo): Monitorear baterías y consumo energético.</t>
  </si>
  <si>
    <t xml:space="preserve">CU 1.10 (nuevo): Consultar historial y generar reportes.</t>
  </si>
  <si>
    <t xml:space="preserve">2. Cls_Rental / Componentes de Código:</t>
  </si>
  <si>
    <t xml:space="preserve">Los controladores y servicios core que procesan la lógica del negocio en PHP 8.2 son validateUser, startRental, endRental y calculateFee.</t>
  </si>
  <si>
    <t xml:space="preserve">validateUser se activa en los procesos de seguridad; la lógica transaccional del alquiler impacta los métodos de inicio, fin y cálculo de costos. Los requisitos de estaciones, bicicletas, energía, mantenimiento y reportes no pasan por Cls_Rental.</t>
  </si>
  <si>
    <t xml:space="preserve">3. Estrategia de Pruebas (QA):</t>
  </si>
  <si>
    <t xml:space="preserve">Caja Negra: se aplica a los 44 requisitos funcionales.</t>
  </si>
  <si>
    <t xml:space="preserve">Caja Blanca: módulos con lógica de negocio compleja — perfiles y permisos (RF-041 a RF-043), ciclo y tarifa del alquiler (RF-008 a RF-012), transacciones (RF-014) y estados de mantenimiento (RF-037 a RF-040).</t>
  </si>
  <si>
    <t xml:space="preserve">Pruebas de Integración: login JWT (RF-002), medios de pago y pasarela Stripe/PayPal (RF-013) y persistencia del cobro del alquiler (RF-010, RF-014).</t>
  </si>
  <si>
    <t xml:space="preserve">Petición de Cambios: se marca solo cuando exista una solicitud de cambio asociada al requisito.</t>
  </si>
  <si>
    <t xml:space="preserve">CONTROL DE CAMBIOS – Matriz de requisitos EMS</t>
  </si>
  <si>
    <t xml:space="preserve">N.º</t>
  </si>
  <si>
    <t xml:space="preserve">Hoja</t>
  </si>
  <si>
    <t xml:space="preserve">Cambio realizado</t>
  </si>
  <si>
    <t xml:space="preserve">Motivo</t>
  </si>
  <si>
    <t xml:space="preserve">RF</t>
  </si>
  <si>
    <t xml:space="preserve">Hoja renombrada de ' RF' a 'RF' y fecha de versión diligenciada (27/10/2026).</t>
  </si>
  <si>
    <t xml:space="preserve">Había un espacio inicial en el nombre; el campo de fecha estaba vacío.</t>
  </si>
  <si>
    <t xml:space="preserve">Reglas de negocio renumeradas: RN-nnn ahora coincide con RF-nnn (RN-001 a RN-044) y todas con 3 dígitos.</t>
  </si>
  <si>
    <t xml:space="preserve">RN-012 estaba repetido en RF-012 y RF-013, lo que desplazaba el resto; había RN-22…RN-43 sin ceros.</t>
  </si>
  <si>
    <t xml:space="preserve">Requisitos de información renumerados igual (RI-001 a RI-044). RF-031 recibe RI-031 (no tenía número).</t>
  </si>
  <si>
    <t xml:space="preserve">Mismo desfase que las RN.</t>
  </si>
  <si>
    <t xml:space="preserve">Correcciones de texto: 'Energia' → 'Energía'; 'Gestión de usuarios' → 'Gestión de Usuarios'; doble punto en RF-023; espacio faltante en RF-014; roles separados con espacio.</t>
  </si>
  <si>
    <t xml:space="preserve">Ortografía y consistencia.</t>
  </si>
  <si>
    <t xml:space="preserve">RNF</t>
  </si>
  <si>
    <t xml:space="preserve">Renumerados RNF-001 a RNF-017 (mismo formato que los RF).</t>
  </si>
  <si>
    <t xml:space="preserve">Faltaba el número 14 y el formato era distinto al de los RF.</t>
  </si>
  <si>
    <t xml:space="preserve">Hoja 1</t>
  </si>
  <si>
    <t xml:space="preserve">Eliminada.</t>
  </si>
  <si>
    <t xml:space="preserve">Borrador del RF-10 de energía, reemplazado por RF-031 a RF-036 en la hoja RF.</t>
  </si>
  <si>
    <t xml:space="preserve">Reconstruida con los 44 RF (antes solo 9 requisitos agrupados con numeración RF 1.1…RF 5.9). Se agregaron CU 1.8, 1.9 y 1.10 y una columna de verificación.</t>
  </si>
  <si>
    <t xml:space="preserve">La numeración no coincidía con la hoja RF y mantenimiento, energía y reportes no tenían caso de uso.</t>
  </si>
  <si>
    <t xml:space="preserve">Eliminados un texto suelto ('.999+o+') y la frase 'Al igual que en tu plantilla'.</t>
  </si>
  <si>
    <t xml:space="preserve">Restos de edición que no deben ir en el entregable.</t>
  </si>
  <si>
    <t xml:space="preserve">RNF-003 pasa de 100 a 1000 usuarios concurrentes.</t>
  </si>
  <si>
    <t xml:space="preserve">Decisión del equipo: se alinea con la documentación técnica EMS.</t>
  </si>
  <si>
    <t xml:space="preserve">RF-010, RF-011 y RF-012 se dejan separados, sin cambios.</t>
  </si>
  <si>
    <t xml:space="preserve">Decisión del equipo.</t>
  </si>
  <si>
    <t xml:space="preserve">Columna de requisitos de información completada: cada requisito indica las tablas que usa y cada tabla se define una sola vez (CREATE TABLE) en el requisito donde aparece por primera vez.</t>
  </si>
  <si>
    <t xml:space="preserve">Faltaban ROLES, TRANSACCIONES, TARIFAS, cargas, alertas y energía; RI-001 y RI-017 repetían USUARIOS.</t>
  </si>
  <si>
    <t xml:space="preserve">Los CREATE TABLE ahora coinciden con el modelo relacional: llaves foráneas con el nombre de la PK, latitud y longitud en vez de POINT, nivel de carga solo en BATERIAS, usuario responsable (id_usuario) en MANTENIMIENTOS.</t>
  </si>
  <si>
    <t xml:space="preserve">Coherencia con el modelo ER y relacional y con la tercera forma normal.</t>
  </si>
  <si>
    <t xml:space="preserve">RI-Tablas</t>
  </si>
  <si>
    <t xml:space="preserve">Hoja nueva con el CREATE TABLE de las 17 tablas y las 2 vistas, incluida AUDITORIA (RNF-012).</t>
  </si>
  <si>
    <t xml:space="preserve">Lectura completa, sin los recortes de celda de la hoja RF.</t>
  </si>
  <si>
    <t xml:space="preserve">PENDIENTES POR DECIDIR (no modificados)</t>
  </si>
  <si>
    <t xml:space="preserve">Tema</t>
  </si>
  <si>
    <t xml:space="preserve">Detalle</t>
  </si>
  <si>
    <t xml:space="preserve">Disponibilidad (RNF-009)</t>
  </si>
  <si>
    <t xml:space="preserve">La matriz pide 99,9 % y la documentación técnica EMS dice 99,5 %. No se modificó.</t>
  </si>
  <si>
    <t xml:space="preserve">Particionado de ALQUILERES (RNF-015)</t>
  </si>
  <si>
    <t xml:space="preserve">En MySQL las tablas particionadas no admiten llaves foráneas y ALQUILERES las necesita. El modelo conserva las llaves y no particiona; decidir si el requisito se mantiene o se cambia por índices.</t>
  </si>
  <si>
    <t xml:space="preserve">Triggers de auditoría (RNF-012)</t>
  </si>
  <si>
    <t xml:space="preserve">La tabla AUDITORIA existe, pero el script no incluye los triggers que la llenan.</t>
  </si>
  <si>
    <t xml:space="preserve">Unidad de la vida útil (RF-031)</t>
  </si>
  <si>
    <t xml:space="preserve">El requisito no dice la unidad de BATERIAS.vida_util; el modelo asume meses.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</si>
</sst>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name val="Courier New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9" tint="0.3999"/>
        <bgColor rgb="FFC5E0B3"/>
      </patternFill>
    </fill>
    <fill>
      <patternFill patternType="solid">
        <fgColor theme="4" tint="0.3999"/>
        <bgColor rgb="FF9CC2E5"/>
      </patternFill>
    </fill>
    <fill>
      <patternFill patternType="solid">
        <fgColor theme="5" tint="0.5999"/>
        <bgColor rgb="FFF4D6EA"/>
      </patternFill>
    </fill>
    <fill>
      <patternFill patternType="solid">
        <fgColor theme="9" tint="0.7999"/>
        <bgColor rgb="FFE2EFD9"/>
      </patternFill>
    </fill>
    <fill>
      <patternFill patternType="solid">
        <fgColor rgb="FF9CC2E5"/>
        <bgColor rgb="FF9DC3E6"/>
      </patternFill>
    </fill>
    <fill>
      <patternFill patternType="solid">
        <fgColor rgb="FFE2EFD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rgb="FFC5E0B3"/>
        <bgColor rgb="FFCCCCCC"/>
      </patternFill>
    </fill>
    <fill>
      <patternFill patternType="solid">
        <fgColor theme="4"/>
        <bgColor rgb="FF8EAADB"/>
      </patternFill>
    </fill>
    <fill>
      <patternFill patternType="solid">
        <fgColor theme="9"/>
        <bgColor rgb="FF808080"/>
      </patternFill>
    </fill>
    <fill>
      <patternFill patternType="solid">
        <fgColor rgb="FF8EAADB"/>
        <bgColor rgb="FF9CC2E5"/>
      </patternFill>
    </fill>
    <fill>
      <patternFill patternType="solid">
        <fgColor rgb="FF00B0F0"/>
        <bgColor rgb="FF33CCCC"/>
      </patternFill>
    </fill>
    <fill>
      <patternFill patternType="solid">
        <fgColor rgb="FF9966FF"/>
        <bgColor rgb="FF808080"/>
      </patternFill>
    </fill>
    <fill>
      <patternFill patternType="solid">
        <fgColor rgb="FFD9E2F3"/>
        <bgColor rgb="FFE2EFD9"/>
      </patternFill>
    </fill>
    <fill>
      <patternFill patternType="solid">
        <fgColor rgb="FFF4D6EA"/>
        <bgColor rgb="FFFCE4D6"/>
      </patternFill>
    </fill>
    <fill>
      <patternFill patternType="solid">
        <fgColor rgb="FFB4C6E7"/>
        <bgColor rgb="FF9DC3E6"/>
      </patternFill>
    </fill>
    <fill>
      <patternFill patternType="solid">
        <fgColor rgb="FFFCE4D6"/>
        <bgColor rgb="FFF4D6EA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6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1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3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6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6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EAADB"/>
      <rgbColor rgb="FF993366"/>
      <rgbColor rgb="FFE2EFD9"/>
      <rgbColor rgb="FFD9E2F3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3"/>
      <rgbColor rgb="FFE2F0D9"/>
      <rgbColor rgb="FFF4D6EA"/>
      <rgbColor rgb="FF9DC3E6"/>
      <rgbColor rgb="FFF4B183"/>
      <rgbColor rgb="FF9CC2E5"/>
      <rgbColor rgb="FFF8CBAD"/>
      <rgbColor rgb="FF3366FF"/>
      <rgbColor rgb="FF33CCCC"/>
      <rgbColor rgb="FFA9D18E"/>
      <rgbColor rgb="FFFFCC00"/>
      <rgbColor rgb="FFFF9900"/>
      <rgbColor rgb="FFFF6600"/>
      <rgbColor rgb="FF9966FF"/>
      <rgbColor rgb="FF70AD47"/>
      <rgbColor rgb="FF003366"/>
      <rgbColor rgb="FF5B9BD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29"/>
  <sheetViews>
    <sheetView showFormulas="false" showGridLines="true" showRowColHeaders="true" showZeros="true" rightToLeft="false" tabSelected="true" showOutlineSymbols="true" defaultGridColor="true" view="normal" topLeftCell="C23" colorId="64" zoomScale="80" zoomScaleNormal="80" zoomScalePageLayoutView="100" workbookViewId="0">
      <selection pane="topLeft" activeCell="H45" activeCellId="0" sqref="H45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33.71"/>
    <col collapsed="false" customWidth="true" hidden="false" outlineLevel="0" max="2" min="2" style="1" width="31.16"/>
    <col collapsed="false" customWidth="true" hidden="false" outlineLevel="0" max="3" min="3" style="1" width="31.71"/>
    <col collapsed="false" customWidth="true" hidden="false" outlineLevel="0" max="4" min="4" style="1" width="8.29"/>
    <col collapsed="false" customWidth="true" hidden="false" outlineLevel="0" max="5" min="5" style="1" width="102.85"/>
    <col collapsed="false" customWidth="true" hidden="false" outlineLevel="0" max="6" min="6" style="2" width="9.29"/>
    <col collapsed="false" customWidth="true" hidden="false" outlineLevel="0" max="7" min="7" style="1" width="8.15"/>
    <col collapsed="false" customWidth="true" hidden="false" outlineLevel="0" max="8" min="8" style="1" width="153.14"/>
    <col collapsed="false" customWidth="true" hidden="false" outlineLevel="0" max="9" min="9" style="1" width="6.57"/>
    <col collapsed="false" customWidth="true" hidden="false" outlineLevel="0" max="10" min="10" style="1" width="121.14"/>
    <col collapsed="false" customWidth="true" hidden="false" outlineLevel="0" max="29" min="11" style="1" width="9.42"/>
  </cols>
  <sheetData>
    <row r="1" customFormat="false" ht="14.25" hidden="false" customHeight="true" outlineLevel="0" collapsed="false">
      <c r="A1" s="3"/>
      <c r="B1" s="3"/>
      <c r="C1" s="3"/>
      <c r="D1" s="4"/>
      <c r="E1" s="3"/>
      <c r="F1" s="5"/>
      <c r="G1" s="6"/>
      <c r="H1" s="3"/>
      <c r="I1" s="3"/>
      <c r="J1" s="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24.75" hidden="false" customHeight="true" outlineLevel="0" collapsed="false">
      <c r="A2" s="7" t="s">
        <v>0</v>
      </c>
      <c r="B2" s="7"/>
      <c r="C2" s="7"/>
      <c r="D2" s="8"/>
      <c r="E2" s="7"/>
      <c r="F2" s="9"/>
      <c r="G2" s="6"/>
      <c r="H2" s="3"/>
      <c r="I2" s="3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Format="false" ht="24.75" hidden="false" customHeight="true" outlineLevel="0" collapsed="false">
      <c r="A3" s="10"/>
      <c r="B3" s="11"/>
      <c r="C3" s="12"/>
      <c r="D3" s="13"/>
      <c r="E3" s="14" t="s">
        <v>1</v>
      </c>
      <c r="F3" s="14"/>
      <c r="G3" s="15" t="s">
        <v>2</v>
      </c>
      <c r="H3" s="15"/>
      <c r="I3" s="15" t="s">
        <v>3</v>
      </c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customFormat="false" ht="24.75" hidden="false" customHeight="true" outlineLevel="0" collapsed="false">
      <c r="A4" s="17" t="s">
        <v>4</v>
      </c>
      <c r="B4" s="18" t="s">
        <v>5</v>
      </c>
      <c r="C4" s="19" t="s">
        <v>6</v>
      </c>
      <c r="D4" s="20" t="s">
        <v>7</v>
      </c>
      <c r="E4" s="21" t="s">
        <v>8</v>
      </c>
      <c r="F4" s="22" t="s">
        <v>9</v>
      </c>
      <c r="G4" s="23" t="s">
        <v>7</v>
      </c>
      <c r="H4" s="15" t="s">
        <v>8</v>
      </c>
      <c r="I4" s="23" t="s">
        <v>7</v>
      </c>
      <c r="J4" s="23" t="s">
        <v>8</v>
      </c>
      <c r="K4" s="2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="33" customFormat="true" ht="24.75" hidden="false" customHeight="true" outlineLevel="0" collapsed="false">
      <c r="A5" s="26" t="s">
        <v>10</v>
      </c>
      <c r="B5" s="27" t="s">
        <v>11</v>
      </c>
      <c r="C5" s="28" t="s">
        <v>12</v>
      </c>
      <c r="D5" s="29" t="s">
        <v>13</v>
      </c>
      <c r="E5" s="30" t="s">
        <v>14</v>
      </c>
      <c r="F5" s="29" t="s">
        <v>15</v>
      </c>
      <c r="G5" s="29" t="s">
        <v>16</v>
      </c>
      <c r="H5" s="29" t="s">
        <v>17</v>
      </c>
      <c r="I5" s="29" t="s">
        <v>18</v>
      </c>
      <c r="J5" s="31" t="s">
        <v>19</v>
      </c>
      <c r="K5" s="32"/>
      <c r="L5" s="3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1"/>
      <c r="AE5" s="1"/>
      <c r="AG5" s="1"/>
    </row>
    <row r="6" s="33" customFormat="true" ht="24.75" hidden="false" customHeight="true" outlineLevel="0" collapsed="false">
      <c r="A6" s="26"/>
      <c r="B6" s="27" t="s">
        <v>11</v>
      </c>
      <c r="C6" s="34" t="s">
        <v>20</v>
      </c>
      <c r="D6" s="29" t="s">
        <v>21</v>
      </c>
      <c r="E6" s="35" t="s">
        <v>22</v>
      </c>
      <c r="F6" s="29" t="s">
        <v>15</v>
      </c>
      <c r="G6" s="29" t="s">
        <v>23</v>
      </c>
      <c r="H6" s="35" t="s">
        <v>24</v>
      </c>
      <c r="I6" s="29" t="s">
        <v>25</v>
      </c>
      <c r="J6" s="36" t="s">
        <v>26</v>
      </c>
      <c r="K6" s="32"/>
      <c r="L6" s="3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"/>
      <c r="AE6" s="1"/>
      <c r="AG6" s="1"/>
    </row>
    <row r="7" s="33" customFormat="true" ht="24.75" hidden="false" customHeight="true" outlineLevel="0" collapsed="false">
      <c r="A7" s="26"/>
      <c r="B7" s="27" t="s">
        <v>11</v>
      </c>
      <c r="C7" s="34" t="s">
        <v>27</v>
      </c>
      <c r="D7" s="29" t="s">
        <v>28</v>
      </c>
      <c r="E7" s="35" t="s">
        <v>29</v>
      </c>
      <c r="F7" s="29" t="s">
        <v>15</v>
      </c>
      <c r="G7" s="29" t="s">
        <v>30</v>
      </c>
      <c r="H7" s="35" t="s">
        <v>31</v>
      </c>
      <c r="I7" s="29" t="s">
        <v>32</v>
      </c>
      <c r="J7" s="36" t="s">
        <v>26</v>
      </c>
      <c r="K7" s="32"/>
      <c r="L7" s="3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1"/>
      <c r="AE7" s="1"/>
      <c r="AG7" s="1"/>
    </row>
    <row r="8" s="33" customFormat="true" ht="24.75" hidden="false" customHeight="true" outlineLevel="0" collapsed="false">
      <c r="A8" s="26"/>
      <c r="B8" s="27" t="s">
        <v>11</v>
      </c>
      <c r="C8" s="34" t="s">
        <v>33</v>
      </c>
      <c r="D8" s="29" t="s">
        <v>34</v>
      </c>
      <c r="E8" s="35" t="s">
        <v>35</v>
      </c>
      <c r="F8" s="29" t="s">
        <v>15</v>
      </c>
      <c r="G8" s="29" t="s">
        <v>36</v>
      </c>
      <c r="H8" s="35" t="s">
        <v>37</v>
      </c>
      <c r="I8" s="29" t="s">
        <v>38</v>
      </c>
      <c r="J8" s="36" t="s">
        <v>26</v>
      </c>
      <c r="K8" s="32"/>
      <c r="L8" s="3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1"/>
      <c r="AE8" s="1"/>
      <c r="AG8" s="1"/>
    </row>
    <row r="9" s="33" customFormat="true" ht="24.75" hidden="false" customHeight="true" outlineLevel="0" collapsed="false">
      <c r="A9" s="37" t="s">
        <v>39</v>
      </c>
      <c r="B9" s="38" t="s">
        <v>11</v>
      </c>
      <c r="C9" s="39" t="s">
        <v>40</v>
      </c>
      <c r="D9" s="40" t="s">
        <v>41</v>
      </c>
      <c r="E9" s="39" t="s">
        <v>42</v>
      </c>
      <c r="F9" s="39" t="s">
        <v>43</v>
      </c>
      <c r="G9" s="40" t="s">
        <v>44</v>
      </c>
      <c r="H9" s="39" t="s">
        <v>45</v>
      </c>
      <c r="I9" s="39" t="s">
        <v>46</v>
      </c>
      <c r="J9" s="41" t="s">
        <v>26</v>
      </c>
      <c r="K9" s="32"/>
      <c r="L9" s="3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1"/>
      <c r="AE9" s="1"/>
      <c r="AG9" s="1"/>
    </row>
    <row r="10" s="33" customFormat="true" ht="24.75" hidden="false" customHeight="true" outlineLevel="0" collapsed="false">
      <c r="A10" s="37"/>
      <c r="B10" s="38"/>
      <c r="C10" s="39" t="s">
        <v>47</v>
      </c>
      <c r="D10" s="40" t="s">
        <v>48</v>
      </c>
      <c r="E10" s="41" t="s">
        <v>49</v>
      </c>
      <c r="F10" s="39" t="s">
        <v>15</v>
      </c>
      <c r="G10" s="40" t="s">
        <v>50</v>
      </c>
      <c r="H10" s="39" t="s">
        <v>51</v>
      </c>
      <c r="I10" s="39" t="s">
        <v>52</v>
      </c>
      <c r="J10" s="41" t="s">
        <v>26</v>
      </c>
      <c r="K10" s="32"/>
      <c r="L10" s="3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"/>
      <c r="AE10" s="1"/>
      <c r="AG10" s="1"/>
    </row>
    <row r="11" s="45" customFormat="true" ht="24.75" hidden="false" customHeight="true" outlineLevel="0" collapsed="false">
      <c r="A11" s="42" t="s">
        <v>53</v>
      </c>
      <c r="B11" s="42" t="s">
        <v>11</v>
      </c>
      <c r="C11" s="43" t="s">
        <v>54</v>
      </c>
      <c r="D11" s="43" t="s">
        <v>55</v>
      </c>
      <c r="E11" s="43" t="s">
        <v>56</v>
      </c>
      <c r="F11" s="43" t="s">
        <v>15</v>
      </c>
      <c r="G11" s="43" t="s">
        <v>57</v>
      </c>
      <c r="H11" s="43" t="s">
        <v>58</v>
      </c>
      <c r="I11" s="43" t="s">
        <v>59</v>
      </c>
      <c r="J11" s="44" t="s">
        <v>60</v>
      </c>
      <c r="K11" s="32"/>
      <c r="L11" s="3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1"/>
      <c r="AE11" s="1"/>
      <c r="AG11" s="1"/>
    </row>
    <row r="12" s="33" customFormat="true" ht="24.75" hidden="false" customHeight="true" outlineLevel="0" collapsed="false">
      <c r="A12" s="46" t="s">
        <v>61</v>
      </c>
      <c r="B12" s="47" t="s">
        <v>11</v>
      </c>
      <c r="C12" s="35" t="s">
        <v>62</v>
      </c>
      <c r="D12" s="48" t="s">
        <v>63</v>
      </c>
      <c r="E12" s="48" t="s">
        <v>64</v>
      </c>
      <c r="F12" s="48" t="s">
        <v>15</v>
      </c>
      <c r="G12" s="48" t="s">
        <v>65</v>
      </c>
      <c r="H12" s="35" t="s">
        <v>66</v>
      </c>
      <c r="I12" s="35" t="s">
        <v>67</v>
      </c>
      <c r="J12" s="36" t="s">
        <v>68</v>
      </c>
      <c r="K12" s="32"/>
      <c r="L12" s="3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1"/>
      <c r="AE12" s="1"/>
      <c r="AG12" s="1"/>
    </row>
    <row r="13" customFormat="false" ht="24.75" hidden="false" customHeight="true" outlineLevel="0" collapsed="false">
      <c r="A13" s="46"/>
      <c r="B13" s="47" t="s">
        <v>11</v>
      </c>
      <c r="C13" s="35" t="s">
        <v>69</v>
      </c>
      <c r="D13" s="48" t="s">
        <v>70</v>
      </c>
      <c r="E13" s="48" t="s">
        <v>71</v>
      </c>
      <c r="F13" s="48" t="s">
        <v>15</v>
      </c>
      <c r="G13" s="48" t="s">
        <v>72</v>
      </c>
      <c r="H13" s="48" t="s">
        <v>73</v>
      </c>
      <c r="I13" s="35" t="s">
        <v>74</v>
      </c>
      <c r="J13" s="36" t="s">
        <v>75</v>
      </c>
      <c r="K13" s="32"/>
      <c r="L13" s="3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1"/>
      <c r="AE13" s="1"/>
      <c r="AG13" s="1"/>
    </row>
    <row r="14" customFormat="false" ht="24.75" hidden="false" customHeight="true" outlineLevel="0" collapsed="false">
      <c r="A14" s="46"/>
      <c r="B14" s="47" t="s">
        <v>11</v>
      </c>
      <c r="C14" s="35" t="s">
        <v>76</v>
      </c>
      <c r="D14" s="48" t="s">
        <v>77</v>
      </c>
      <c r="E14" s="48" t="s">
        <v>78</v>
      </c>
      <c r="F14" s="48" t="s">
        <v>15</v>
      </c>
      <c r="G14" s="48" t="s">
        <v>79</v>
      </c>
      <c r="H14" s="48" t="s">
        <v>80</v>
      </c>
      <c r="I14" s="35" t="s">
        <v>81</v>
      </c>
      <c r="J14" s="36" t="s">
        <v>82</v>
      </c>
      <c r="K14" s="32"/>
      <c r="L14" s="3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1"/>
      <c r="AE14" s="1"/>
      <c r="AG14" s="1"/>
    </row>
    <row r="15" customFormat="false" ht="24.75" hidden="false" customHeight="true" outlineLevel="0" collapsed="false">
      <c r="A15" s="46"/>
      <c r="B15" s="47" t="s">
        <v>11</v>
      </c>
      <c r="C15" s="35" t="s">
        <v>83</v>
      </c>
      <c r="D15" s="48" t="s">
        <v>84</v>
      </c>
      <c r="E15" s="48" t="s">
        <v>85</v>
      </c>
      <c r="F15" s="48" t="s">
        <v>15</v>
      </c>
      <c r="G15" s="48" t="s">
        <v>86</v>
      </c>
      <c r="H15" s="48" t="s">
        <v>87</v>
      </c>
      <c r="I15" s="35" t="s">
        <v>88</v>
      </c>
      <c r="J15" s="36" t="s">
        <v>89</v>
      </c>
      <c r="K15" s="32"/>
      <c r="L15" s="3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"/>
      <c r="AE15" s="1"/>
      <c r="AG15" s="1"/>
    </row>
    <row r="16" customFormat="false" ht="24.75" hidden="false" customHeight="true" outlineLevel="0" collapsed="false">
      <c r="A16" s="46"/>
      <c r="B16" s="47" t="s">
        <v>11</v>
      </c>
      <c r="C16" s="35" t="s">
        <v>90</v>
      </c>
      <c r="D16" s="48" t="s">
        <v>91</v>
      </c>
      <c r="E16" s="48" t="s">
        <v>92</v>
      </c>
      <c r="F16" s="48" t="s">
        <v>15</v>
      </c>
      <c r="G16" s="48" t="s">
        <v>93</v>
      </c>
      <c r="H16" s="48" t="s">
        <v>94</v>
      </c>
      <c r="I16" s="35" t="s">
        <v>95</v>
      </c>
      <c r="J16" s="36" t="s">
        <v>96</v>
      </c>
      <c r="K16" s="32"/>
      <c r="L16" s="3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1"/>
      <c r="AE16" s="1"/>
      <c r="AG16" s="1"/>
    </row>
    <row r="17" customFormat="false" ht="24.75" hidden="false" customHeight="true" outlineLevel="0" collapsed="false">
      <c r="A17" s="49" t="s">
        <v>97</v>
      </c>
      <c r="B17" s="50" t="s">
        <v>11</v>
      </c>
      <c r="C17" s="51" t="s">
        <v>98</v>
      </c>
      <c r="D17" s="51" t="s">
        <v>99</v>
      </c>
      <c r="E17" s="51" t="s">
        <v>100</v>
      </c>
      <c r="F17" s="43" t="s">
        <v>15</v>
      </c>
      <c r="G17" s="43" t="s">
        <v>101</v>
      </c>
      <c r="H17" s="51" t="s">
        <v>102</v>
      </c>
      <c r="I17" s="51" t="s">
        <v>103</v>
      </c>
      <c r="J17" s="52" t="s">
        <v>104</v>
      </c>
      <c r="K17" s="32"/>
      <c r="L17" s="3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1"/>
      <c r="AE17" s="1"/>
      <c r="AG17" s="1"/>
    </row>
    <row r="18" customFormat="false" ht="24.75" hidden="false" customHeight="true" outlineLevel="0" collapsed="false">
      <c r="A18" s="49"/>
      <c r="B18" s="50" t="s">
        <v>11</v>
      </c>
      <c r="C18" s="51" t="s">
        <v>105</v>
      </c>
      <c r="D18" s="51" t="s">
        <v>106</v>
      </c>
      <c r="E18" s="51" t="s">
        <v>107</v>
      </c>
      <c r="F18" s="53" t="s">
        <v>15</v>
      </c>
      <c r="G18" s="43" t="s">
        <v>108</v>
      </c>
      <c r="H18" s="54" t="s">
        <v>109</v>
      </c>
      <c r="I18" s="51" t="s">
        <v>110</v>
      </c>
      <c r="J18" s="55" t="s">
        <v>111</v>
      </c>
      <c r="K18" s="32"/>
      <c r="L18" s="3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1"/>
      <c r="AE18" s="1"/>
      <c r="AG18" s="1"/>
    </row>
    <row r="19" customFormat="false" ht="24.75" hidden="false" customHeight="true" outlineLevel="0" collapsed="false">
      <c r="A19" s="49"/>
      <c r="B19" s="50" t="s">
        <v>11</v>
      </c>
      <c r="C19" s="51" t="s">
        <v>112</v>
      </c>
      <c r="D19" s="51" t="s">
        <v>113</v>
      </c>
      <c r="E19" s="56" t="s">
        <v>114</v>
      </c>
      <c r="F19" s="51" t="s">
        <v>43</v>
      </c>
      <c r="G19" s="43" t="s">
        <v>115</v>
      </c>
      <c r="H19" s="51" t="s">
        <v>116</v>
      </c>
      <c r="I19" s="51" t="s">
        <v>117</v>
      </c>
      <c r="J19" s="52" t="s">
        <v>118</v>
      </c>
      <c r="K19" s="32"/>
      <c r="L19" s="3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1"/>
      <c r="AE19" s="1"/>
      <c r="AG19" s="1"/>
    </row>
    <row r="20" s="63" customFormat="true" ht="24.75" hidden="false" customHeight="true" outlineLevel="0" collapsed="false">
      <c r="A20" s="57" t="s">
        <v>119</v>
      </c>
      <c r="B20" s="58" t="s">
        <v>11</v>
      </c>
      <c r="C20" s="59" t="s">
        <v>120</v>
      </c>
      <c r="D20" s="60" t="s">
        <v>121</v>
      </c>
      <c r="E20" s="61" t="s">
        <v>122</v>
      </c>
      <c r="F20" s="48" t="s">
        <v>43</v>
      </c>
      <c r="G20" s="48" t="s">
        <v>123</v>
      </c>
      <c r="H20" s="48" t="s">
        <v>124</v>
      </c>
      <c r="I20" s="48" t="s">
        <v>125</v>
      </c>
      <c r="J20" s="62" t="s">
        <v>89</v>
      </c>
      <c r="K20" s="32"/>
      <c r="L20" s="3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1"/>
      <c r="AE20" s="1"/>
      <c r="AG20" s="1"/>
    </row>
    <row r="21" customFormat="false" ht="24.75" hidden="false" customHeight="true" outlineLevel="0" collapsed="false">
      <c r="A21" s="64" t="s">
        <v>39</v>
      </c>
      <c r="B21" s="64" t="s">
        <v>126</v>
      </c>
      <c r="C21" s="64" t="s">
        <v>127</v>
      </c>
      <c r="D21" s="51" t="s">
        <v>128</v>
      </c>
      <c r="E21" s="65" t="s">
        <v>129</v>
      </c>
      <c r="F21" s="43" t="s">
        <v>15</v>
      </c>
      <c r="G21" s="43" t="s">
        <v>130</v>
      </c>
      <c r="H21" s="51" t="s">
        <v>131</v>
      </c>
      <c r="I21" s="51" t="s">
        <v>132</v>
      </c>
      <c r="J21" s="52" t="s">
        <v>133</v>
      </c>
      <c r="K21" s="32"/>
      <c r="L21" s="3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1"/>
      <c r="AE21" s="1"/>
    </row>
    <row r="22" customFormat="false" ht="24.75" hidden="false" customHeight="true" outlineLevel="0" collapsed="false">
      <c r="A22" s="64"/>
      <c r="B22" s="64" t="s">
        <v>126</v>
      </c>
      <c r="C22" s="64" t="s">
        <v>134</v>
      </c>
      <c r="D22" s="51" t="s">
        <v>135</v>
      </c>
      <c r="E22" s="65" t="s">
        <v>136</v>
      </c>
      <c r="F22" s="43" t="s">
        <v>15</v>
      </c>
      <c r="G22" s="43" t="s">
        <v>137</v>
      </c>
      <c r="H22" s="51" t="s">
        <v>138</v>
      </c>
      <c r="I22" s="51" t="s">
        <v>139</v>
      </c>
      <c r="J22" s="52" t="s">
        <v>26</v>
      </c>
      <c r="K22" s="32"/>
      <c r="L22" s="3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1"/>
      <c r="AE22" s="1"/>
    </row>
    <row r="23" customFormat="false" ht="24.75" hidden="false" customHeight="true" outlineLevel="0" collapsed="false">
      <c r="A23" s="64"/>
      <c r="B23" s="64" t="s">
        <v>126</v>
      </c>
      <c r="C23" s="64" t="s">
        <v>140</v>
      </c>
      <c r="D23" s="51" t="s">
        <v>141</v>
      </c>
      <c r="E23" s="65" t="s">
        <v>142</v>
      </c>
      <c r="F23" s="43" t="s">
        <v>15</v>
      </c>
      <c r="G23" s="43" t="s">
        <v>143</v>
      </c>
      <c r="H23" s="51" t="s">
        <v>144</v>
      </c>
      <c r="I23" s="51" t="s">
        <v>145</v>
      </c>
      <c r="J23" s="52" t="s">
        <v>26</v>
      </c>
      <c r="K23" s="32"/>
      <c r="L23" s="3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1"/>
      <c r="AE23" s="1"/>
    </row>
    <row r="24" customFormat="false" ht="24.75" hidden="false" customHeight="true" outlineLevel="0" collapsed="false">
      <c r="A24" s="64"/>
      <c r="B24" s="64" t="s">
        <v>126</v>
      </c>
      <c r="C24" s="64" t="s">
        <v>146</v>
      </c>
      <c r="D24" s="51" t="s">
        <v>147</v>
      </c>
      <c r="E24" s="65" t="s">
        <v>148</v>
      </c>
      <c r="F24" s="43" t="s">
        <v>15</v>
      </c>
      <c r="G24" s="43" t="s">
        <v>149</v>
      </c>
      <c r="H24" s="66" t="s">
        <v>150</v>
      </c>
      <c r="I24" s="51" t="s">
        <v>151</v>
      </c>
      <c r="J24" s="52" t="s">
        <v>26</v>
      </c>
      <c r="K24" s="32"/>
      <c r="L24" s="3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customFormat="false" ht="24.75" hidden="false" customHeight="true" outlineLevel="0" collapsed="false">
      <c r="A25" s="67" t="s">
        <v>53</v>
      </c>
      <c r="B25" s="67" t="s">
        <v>126</v>
      </c>
      <c r="C25" s="67" t="s">
        <v>152</v>
      </c>
      <c r="D25" s="62" t="s">
        <v>153</v>
      </c>
      <c r="E25" s="68" t="s">
        <v>154</v>
      </c>
      <c r="F25" s="48" t="s">
        <v>15</v>
      </c>
      <c r="G25" s="48" t="s">
        <v>155</v>
      </c>
      <c r="H25" s="62" t="s">
        <v>156</v>
      </c>
      <c r="I25" s="69" t="s">
        <v>157</v>
      </c>
      <c r="J25" s="62" t="s">
        <v>158</v>
      </c>
      <c r="K25" s="3"/>
      <c r="L25" s="3"/>
      <c r="M25" s="4"/>
      <c r="N25" s="3"/>
      <c r="O25" s="3"/>
      <c r="P25" s="70"/>
      <c r="Q25" s="3"/>
      <c r="R25" s="3"/>
      <c r="S25" s="5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customFormat="false" ht="24.75" hidden="false" customHeight="true" outlineLevel="0" collapsed="false">
      <c r="A26" s="67"/>
      <c r="B26" s="67" t="s">
        <v>126</v>
      </c>
      <c r="C26" s="67" t="s">
        <v>159</v>
      </c>
      <c r="D26" s="62" t="s">
        <v>160</v>
      </c>
      <c r="E26" s="68" t="s">
        <v>161</v>
      </c>
      <c r="F26" s="48" t="s">
        <v>15</v>
      </c>
      <c r="G26" s="48" t="s">
        <v>162</v>
      </c>
      <c r="H26" s="62" t="s">
        <v>163</v>
      </c>
      <c r="I26" s="69" t="s">
        <v>164</v>
      </c>
      <c r="J26" s="62" t="s">
        <v>158</v>
      </c>
      <c r="K26" s="3"/>
      <c r="L26" s="3"/>
      <c r="M26" s="4"/>
      <c r="N26" s="3"/>
      <c r="O26" s="3"/>
      <c r="P26" s="70"/>
      <c r="Q26" s="3"/>
      <c r="R26" s="3"/>
      <c r="S26" s="5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customFormat="false" ht="24.75" hidden="false" customHeight="true" outlineLevel="0" collapsed="false">
      <c r="A27" s="64" t="s">
        <v>165</v>
      </c>
      <c r="B27" s="64" t="s">
        <v>126</v>
      </c>
      <c r="C27" s="64" t="s">
        <v>166</v>
      </c>
      <c r="D27" s="51" t="s">
        <v>167</v>
      </c>
      <c r="E27" s="64" t="s">
        <v>168</v>
      </c>
      <c r="F27" s="43" t="s">
        <v>15</v>
      </c>
      <c r="G27" s="43" t="s">
        <v>169</v>
      </c>
      <c r="H27" s="66" t="s">
        <v>170</v>
      </c>
      <c r="I27" s="71" t="s">
        <v>171</v>
      </c>
      <c r="J27" s="52" t="s">
        <v>172</v>
      </c>
      <c r="K27" s="3"/>
      <c r="L27" s="3"/>
      <c r="M27" s="4"/>
      <c r="N27" s="3"/>
      <c r="O27" s="3"/>
      <c r="P27" s="70"/>
      <c r="Q27" s="3"/>
      <c r="R27" s="3"/>
      <c r="S27" s="5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customFormat="false" ht="24.75" hidden="false" customHeight="true" outlineLevel="0" collapsed="false">
      <c r="A28" s="64"/>
      <c r="B28" s="64" t="s">
        <v>126</v>
      </c>
      <c r="C28" s="71" t="s">
        <v>173</v>
      </c>
      <c r="D28" s="51" t="s">
        <v>174</v>
      </c>
      <c r="E28" s="72" t="s">
        <v>175</v>
      </c>
      <c r="F28" s="51" t="s">
        <v>43</v>
      </c>
      <c r="G28" s="43" t="s">
        <v>176</v>
      </c>
      <c r="H28" s="71" t="s">
        <v>177</v>
      </c>
      <c r="I28" s="71" t="s">
        <v>178</v>
      </c>
      <c r="J28" s="52" t="s">
        <v>179</v>
      </c>
      <c r="K28" s="3"/>
      <c r="L28" s="3"/>
      <c r="M28" s="4"/>
      <c r="N28" s="3"/>
      <c r="O28" s="3"/>
      <c r="P28" s="70"/>
      <c r="Q28" s="3"/>
      <c r="R28" s="3"/>
      <c r="S28" s="5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customFormat="false" ht="24.75" hidden="false" customHeight="true" outlineLevel="0" collapsed="false">
      <c r="A29" s="73" t="s">
        <v>180</v>
      </c>
      <c r="B29" s="67" t="s">
        <v>126</v>
      </c>
      <c r="C29" s="69" t="s">
        <v>181</v>
      </c>
      <c r="D29" s="62" t="s">
        <v>182</v>
      </c>
      <c r="E29" s="74" t="s">
        <v>183</v>
      </c>
      <c r="F29" s="48" t="s">
        <v>43</v>
      </c>
      <c r="G29" s="48" t="s">
        <v>184</v>
      </c>
      <c r="H29" s="69" t="s">
        <v>185</v>
      </c>
      <c r="I29" s="69" t="s">
        <v>186</v>
      </c>
      <c r="J29" s="62" t="s">
        <v>187</v>
      </c>
      <c r="K29" s="3"/>
      <c r="L29" s="3"/>
      <c r="M29" s="4"/>
      <c r="N29" s="3"/>
      <c r="O29" s="3"/>
      <c r="P29" s="70"/>
      <c r="Q29" s="3"/>
      <c r="R29" s="3"/>
      <c r="S29" s="5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customFormat="false" ht="24.75" hidden="false" customHeight="true" outlineLevel="0" collapsed="false">
      <c r="A30" s="73"/>
      <c r="B30" s="67" t="s">
        <v>126</v>
      </c>
      <c r="C30" s="69" t="s">
        <v>188</v>
      </c>
      <c r="D30" s="62" t="s">
        <v>189</v>
      </c>
      <c r="E30" s="74" t="s">
        <v>190</v>
      </c>
      <c r="F30" s="48" t="s">
        <v>43</v>
      </c>
      <c r="G30" s="48" t="s">
        <v>191</v>
      </c>
      <c r="H30" s="71" t="s">
        <v>192</v>
      </c>
      <c r="I30" s="75" t="s">
        <v>193</v>
      </c>
      <c r="J30" s="76" t="s">
        <v>187</v>
      </c>
      <c r="K30" s="3"/>
      <c r="L30" s="3"/>
      <c r="M30" s="4"/>
      <c r="N30" s="3"/>
      <c r="O30" s="3"/>
      <c r="P30" s="70"/>
      <c r="Q30" s="3"/>
      <c r="R30" s="3"/>
      <c r="S30" s="5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customFormat="false" ht="24.75" hidden="false" customHeight="true" outlineLevel="0" collapsed="false">
      <c r="A31" s="42" t="s">
        <v>53</v>
      </c>
      <c r="B31" s="64" t="s">
        <v>194</v>
      </c>
      <c r="C31" s="71" t="s">
        <v>195</v>
      </c>
      <c r="D31" s="51" t="s">
        <v>196</v>
      </c>
      <c r="E31" s="72" t="s">
        <v>197</v>
      </c>
      <c r="F31" s="43" t="s">
        <v>15</v>
      </c>
      <c r="G31" s="43" t="s">
        <v>198</v>
      </c>
      <c r="H31" s="71" t="s">
        <v>199</v>
      </c>
      <c r="I31" s="75" t="s">
        <v>200</v>
      </c>
      <c r="J31" s="77" t="s">
        <v>201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24.75" hidden="false" customHeight="true" outlineLevel="0" collapsed="false">
      <c r="A32" s="67" t="s">
        <v>165</v>
      </c>
      <c r="B32" s="67" t="s">
        <v>194</v>
      </c>
      <c r="C32" s="67" t="s">
        <v>202</v>
      </c>
      <c r="D32" s="67" t="s">
        <v>203</v>
      </c>
      <c r="E32" s="62" t="s">
        <v>204</v>
      </c>
      <c r="F32" s="78" t="s">
        <v>15</v>
      </c>
      <c r="G32" s="67" t="s">
        <v>205</v>
      </c>
      <c r="H32" s="62" t="s">
        <v>206</v>
      </c>
      <c r="I32" s="79" t="s">
        <v>207</v>
      </c>
      <c r="J32" s="62" t="s">
        <v>208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customFormat="false" ht="24.75" hidden="false" customHeight="true" outlineLevel="0" collapsed="false">
      <c r="A33" s="67"/>
      <c r="B33" s="67"/>
      <c r="C33" s="67"/>
      <c r="D33" s="67"/>
      <c r="E33" s="67"/>
      <c r="F33" s="67"/>
      <c r="G33" s="67"/>
      <c r="H33" s="67"/>
      <c r="I33" s="7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customFormat="false" ht="24.75" hidden="false" customHeight="true" outlineLevel="0" collapsed="false">
      <c r="A34" s="80" t="s">
        <v>53</v>
      </c>
      <c r="B34" s="64" t="s">
        <v>194</v>
      </c>
      <c r="C34" s="71" t="s">
        <v>209</v>
      </c>
      <c r="D34" s="51" t="s">
        <v>210</v>
      </c>
      <c r="E34" s="81" t="s">
        <v>211</v>
      </c>
      <c r="F34" s="82" t="s">
        <v>15</v>
      </c>
      <c r="G34" s="43" t="s">
        <v>212</v>
      </c>
      <c r="H34" s="71" t="s">
        <v>213</v>
      </c>
      <c r="I34" s="64" t="s">
        <v>214</v>
      </c>
      <c r="J34" s="52" t="s">
        <v>215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customFormat="false" ht="24.75" hidden="false" customHeight="true" outlineLevel="0" collapsed="false">
      <c r="A35" s="80"/>
      <c r="B35" s="83" t="s">
        <v>194</v>
      </c>
      <c r="C35" s="81" t="s">
        <v>216</v>
      </c>
      <c r="D35" s="51" t="s">
        <v>217</v>
      </c>
      <c r="E35" s="81" t="s">
        <v>218</v>
      </c>
      <c r="F35" s="82" t="s">
        <v>15</v>
      </c>
      <c r="G35" s="43" t="s">
        <v>219</v>
      </c>
      <c r="H35" s="71" t="s">
        <v>220</v>
      </c>
      <c r="I35" s="64" t="s">
        <v>221</v>
      </c>
      <c r="J35" s="52" t="s">
        <v>158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customFormat="false" ht="24.75" hidden="false" customHeight="true" outlineLevel="0" collapsed="false">
      <c r="A36" s="84" t="s">
        <v>222</v>
      </c>
      <c r="B36" s="85" t="s">
        <v>194</v>
      </c>
      <c r="C36" s="86" t="s">
        <v>223</v>
      </c>
      <c r="D36" s="84" t="s">
        <v>224</v>
      </c>
      <c r="E36" s="86" t="s">
        <v>225</v>
      </c>
      <c r="F36" s="87" t="s">
        <v>15</v>
      </c>
      <c r="G36" s="87" t="s">
        <v>226</v>
      </c>
      <c r="H36" s="86" t="s">
        <v>227</v>
      </c>
      <c r="I36" s="86" t="s">
        <v>228</v>
      </c>
      <c r="J36" s="88" t="s">
        <v>229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customFormat="false" ht="24.75" hidden="false" customHeight="true" outlineLevel="0" collapsed="false">
      <c r="A37" s="84"/>
      <c r="B37" s="87" t="s">
        <v>230</v>
      </c>
      <c r="C37" s="89" t="s">
        <v>231</v>
      </c>
      <c r="D37" s="84" t="s">
        <v>232</v>
      </c>
      <c r="E37" s="87" t="s">
        <v>233</v>
      </c>
      <c r="F37" s="87" t="s">
        <v>15</v>
      </c>
      <c r="G37" s="87" t="s">
        <v>234</v>
      </c>
      <c r="H37" s="87" t="s">
        <v>235</v>
      </c>
      <c r="I37" s="87" t="s">
        <v>236</v>
      </c>
      <c r="J37" s="89" t="s">
        <v>237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customFormat="false" ht="24.75" hidden="false" customHeight="true" outlineLevel="0" collapsed="false">
      <c r="A38" s="84"/>
      <c r="B38" s="87" t="s">
        <v>230</v>
      </c>
      <c r="C38" s="89" t="s">
        <v>238</v>
      </c>
      <c r="D38" s="84" t="s">
        <v>239</v>
      </c>
      <c r="E38" s="89" t="s">
        <v>240</v>
      </c>
      <c r="F38" s="87" t="s">
        <v>15</v>
      </c>
      <c r="G38" s="87" t="s">
        <v>241</v>
      </c>
      <c r="H38" s="87" t="s">
        <v>242</v>
      </c>
      <c r="I38" s="87" t="s">
        <v>243</v>
      </c>
      <c r="J38" s="89" t="s">
        <v>244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customFormat="false" ht="24.75" hidden="false" customHeight="true" outlineLevel="0" collapsed="false">
      <c r="A39" s="84"/>
      <c r="B39" s="87" t="s">
        <v>230</v>
      </c>
      <c r="C39" s="89" t="s">
        <v>245</v>
      </c>
      <c r="D39" s="84" t="s">
        <v>246</v>
      </c>
      <c r="E39" s="90" t="s">
        <v>247</v>
      </c>
      <c r="F39" s="87" t="s">
        <v>15</v>
      </c>
      <c r="G39" s="87" t="s">
        <v>248</v>
      </c>
      <c r="H39" s="87" t="s">
        <v>249</v>
      </c>
      <c r="I39" s="87" t="s">
        <v>250</v>
      </c>
      <c r="J39" s="89" t="s">
        <v>251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24.75" hidden="false" customHeight="true" outlineLevel="0" collapsed="false">
      <c r="A40" s="84"/>
      <c r="B40" s="87" t="s">
        <v>230</v>
      </c>
      <c r="C40" s="89" t="s">
        <v>252</v>
      </c>
      <c r="D40" s="84" t="s">
        <v>253</v>
      </c>
      <c r="E40" s="87" t="s">
        <v>254</v>
      </c>
      <c r="F40" s="87" t="s">
        <v>15</v>
      </c>
      <c r="G40" s="87" t="s">
        <v>255</v>
      </c>
      <c r="H40" s="87" t="s">
        <v>256</v>
      </c>
      <c r="I40" s="87" t="s">
        <v>257</v>
      </c>
      <c r="J40" s="89" t="s">
        <v>258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="95" customFormat="true" ht="24.75" hidden="false" customHeight="true" outlineLevel="0" collapsed="false">
      <c r="A41" s="84"/>
      <c r="B41" s="87" t="s">
        <v>259</v>
      </c>
      <c r="C41" s="91" t="s">
        <v>260</v>
      </c>
      <c r="D41" s="84" t="s">
        <v>261</v>
      </c>
      <c r="E41" s="92" t="s">
        <v>262</v>
      </c>
      <c r="F41" s="87" t="s">
        <v>43</v>
      </c>
      <c r="G41" s="87" t="s">
        <v>263</v>
      </c>
      <c r="H41" s="93" t="s">
        <v>264</v>
      </c>
      <c r="I41" s="87" t="s">
        <v>265</v>
      </c>
      <c r="J41" s="94" t="s">
        <v>266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"/>
      <c r="AE41" s="1"/>
      <c r="AF41" s="1"/>
      <c r="AG41" s="1"/>
    </row>
    <row r="42" customFormat="false" ht="24.75" hidden="false" customHeight="true" outlineLevel="0" collapsed="false">
      <c r="A42" s="96" t="s">
        <v>267</v>
      </c>
      <c r="B42" s="67" t="s">
        <v>194</v>
      </c>
      <c r="C42" s="78" t="s">
        <v>268</v>
      </c>
      <c r="D42" s="67" t="s">
        <v>269</v>
      </c>
      <c r="E42" s="78" t="s">
        <v>270</v>
      </c>
      <c r="F42" s="78" t="s">
        <v>15</v>
      </c>
      <c r="G42" s="67" t="s">
        <v>271</v>
      </c>
      <c r="H42" s="62" t="s">
        <v>272</v>
      </c>
      <c r="I42" s="97" t="s">
        <v>273</v>
      </c>
      <c r="J42" s="62" t="s">
        <v>274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customFormat="false" ht="24.75" hidden="false" customHeight="true" outlineLevel="0" collapsed="false">
      <c r="A43" s="96"/>
      <c r="B43" s="67" t="s">
        <v>194</v>
      </c>
      <c r="C43" s="78" t="s">
        <v>275</v>
      </c>
      <c r="D43" s="67" t="s">
        <v>276</v>
      </c>
      <c r="E43" s="78" t="s">
        <v>277</v>
      </c>
      <c r="F43" s="78" t="s">
        <v>15</v>
      </c>
      <c r="G43" s="67" t="s">
        <v>278</v>
      </c>
      <c r="H43" s="62" t="s">
        <v>279</v>
      </c>
      <c r="I43" s="97" t="s">
        <v>280</v>
      </c>
      <c r="J43" s="98" t="s">
        <v>281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customFormat="false" ht="24.75" hidden="false" customHeight="true" outlineLevel="0" collapsed="false">
      <c r="A44" s="96"/>
      <c r="B44" s="67" t="s">
        <v>194</v>
      </c>
      <c r="C44" s="78" t="s">
        <v>282</v>
      </c>
      <c r="D44" s="67" t="s">
        <v>283</v>
      </c>
      <c r="E44" s="78" t="s">
        <v>284</v>
      </c>
      <c r="F44" s="78" t="s">
        <v>15</v>
      </c>
      <c r="G44" s="67" t="s">
        <v>285</v>
      </c>
      <c r="H44" s="62" t="s">
        <v>286</v>
      </c>
      <c r="I44" s="97" t="s">
        <v>287</v>
      </c>
      <c r="J44" s="98" t="s">
        <v>288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customFormat="false" ht="24.75" hidden="false" customHeight="true" outlineLevel="0" collapsed="false">
      <c r="A45" s="96"/>
      <c r="B45" s="67" t="s">
        <v>194</v>
      </c>
      <c r="C45" s="78" t="s">
        <v>289</v>
      </c>
      <c r="D45" s="67" t="s">
        <v>290</v>
      </c>
      <c r="E45" s="78" t="s">
        <v>291</v>
      </c>
      <c r="F45" s="48" t="s">
        <v>43</v>
      </c>
      <c r="G45" s="67" t="s">
        <v>292</v>
      </c>
      <c r="H45" s="62" t="s">
        <v>293</v>
      </c>
      <c r="I45" s="97" t="s">
        <v>294</v>
      </c>
      <c r="J45" s="98" t="s">
        <v>288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="63" customFormat="true" ht="24.75" hidden="false" customHeight="true" outlineLevel="0" collapsed="false">
      <c r="A46" s="64" t="s">
        <v>295</v>
      </c>
      <c r="B46" s="64" t="s">
        <v>296</v>
      </c>
      <c r="C46" s="75" t="s">
        <v>297</v>
      </c>
      <c r="D46" s="64" t="s">
        <v>298</v>
      </c>
      <c r="E46" s="75" t="s">
        <v>299</v>
      </c>
      <c r="F46" s="66" t="s">
        <v>15</v>
      </c>
      <c r="G46" s="64" t="s">
        <v>300</v>
      </c>
      <c r="H46" s="52" t="s">
        <v>301</v>
      </c>
      <c r="I46" s="75" t="s">
        <v>302</v>
      </c>
      <c r="J46" s="99" t="s">
        <v>303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G46" s="1"/>
    </row>
    <row r="47" customFormat="false" ht="24.75" hidden="false" customHeight="true" outlineLevel="0" collapsed="false">
      <c r="A47" s="64"/>
      <c r="B47" s="64" t="s">
        <v>296</v>
      </c>
      <c r="C47" s="75" t="s">
        <v>304</v>
      </c>
      <c r="D47" s="64" t="s">
        <v>305</v>
      </c>
      <c r="E47" s="75" t="s">
        <v>306</v>
      </c>
      <c r="F47" s="66" t="s">
        <v>15</v>
      </c>
      <c r="G47" s="64" t="s">
        <v>307</v>
      </c>
      <c r="H47" s="52" t="s">
        <v>308</v>
      </c>
      <c r="I47" s="75" t="s">
        <v>309</v>
      </c>
      <c r="J47" s="99" t="s">
        <v>310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customFormat="false" ht="24.75" hidden="false" customHeight="true" outlineLevel="0" collapsed="false">
      <c r="A48" s="64"/>
      <c r="B48" s="64" t="s">
        <v>296</v>
      </c>
      <c r="C48" s="75" t="s">
        <v>311</v>
      </c>
      <c r="D48" s="64" t="s">
        <v>312</v>
      </c>
      <c r="E48" s="75" t="s">
        <v>313</v>
      </c>
      <c r="F48" s="66" t="s">
        <v>15</v>
      </c>
      <c r="G48" s="64" t="s">
        <v>314</v>
      </c>
      <c r="H48" s="52" t="s">
        <v>315</v>
      </c>
      <c r="I48" s="75" t="s">
        <v>316</v>
      </c>
      <c r="J48" s="99" t="s">
        <v>317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customFormat="false" ht="24.75" hidden="false" customHeight="true" outlineLevel="0" collapsed="false">
      <c r="A49" s="64"/>
      <c r="B49" s="64" t="s">
        <v>296</v>
      </c>
      <c r="C49" s="75" t="s">
        <v>318</v>
      </c>
      <c r="D49" s="64" t="s">
        <v>319</v>
      </c>
      <c r="E49" s="75" t="s">
        <v>320</v>
      </c>
      <c r="F49" s="66" t="s">
        <v>15</v>
      </c>
      <c r="G49" s="64" t="s">
        <v>321</v>
      </c>
      <c r="H49" s="52" t="s">
        <v>322</v>
      </c>
      <c r="I49" s="75" t="s">
        <v>323</v>
      </c>
      <c r="J49" s="99" t="s">
        <v>324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customFormat="false" ht="14.25" hidden="false" customHeight="true" outlineLevel="0" collapsed="false">
      <c r="A50" s="3"/>
      <c r="B50" s="3"/>
      <c r="C50" s="3"/>
      <c r="D50" s="4"/>
      <c r="E50" s="3"/>
      <c r="F50" s="5"/>
      <c r="G50" s="6"/>
      <c r="H50" s="3"/>
      <c r="I50" s="3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customFormat="false" ht="14.25" hidden="false" customHeight="true" outlineLevel="0" collapsed="false">
      <c r="A51" s="3"/>
      <c r="B51" s="3"/>
      <c r="C51" s="3"/>
      <c r="D51" s="4"/>
      <c r="E51" s="3"/>
      <c r="F51" s="5"/>
      <c r="G51" s="6"/>
      <c r="H51" s="3"/>
      <c r="I51" s="3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customFormat="false" ht="14.25" hidden="false" customHeight="true" outlineLevel="0" collapsed="false">
      <c r="A52" s="3"/>
      <c r="B52" s="3"/>
      <c r="C52" s="3"/>
      <c r="D52" s="4"/>
      <c r="E52" s="3"/>
      <c r="F52" s="5"/>
      <c r="G52" s="6"/>
      <c r="H52" s="3"/>
      <c r="I52" s="3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customFormat="false" ht="14.25" hidden="false" customHeight="true" outlineLevel="0" collapsed="false">
      <c r="A53" s="3"/>
      <c r="B53" s="3"/>
      <c r="C53" s="3"/>
      <c r="D53" s="4"/>
      <c r="E53" s="3"/>
      <c r="F53" s="5"/>
      <c r="G53" s="6"/>
      <c r="H53" s="3"/>
      <c r="I53" s="3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customFormat="false" ht="14.25" hidden="false" customHeight="true" outlineLevel="0" collapsed="false">
      <c r="A54" s="3"/>
      <c r="B54" s="3"/>
      <c r="C54" s="3"/>
      <c r="D54" s="4"/>
      <c r="E54" s="3"/>
      <c r="F54" s="5"/>
      <c r="G54" s="6"/>
      <c r="H54" s="3"/>
      <c r="I54" s="3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customFormat="false" ht="14.25" hidden="false" customHeight="true" outlineLevel="0" collapsed="false">
      <c r="A55" s="3"/>
      <c r="B55" s="3"/>
      <c r="C55" s="3"/>
      <c r="D55" s="4"/>
      <c r="E55" s="3"/>
      <c r="F55" s="5"/>
      <c r="G55" s="6"/>
      <c r="H55" s="3"/>
      <c r="I55" s="3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customFormat="false" ht="14.25" hidden="false" customHeight="true" outlineLevel="0" collapsed="false">
      <c r="A56" s="3"/>
      <c r="B56" s="3"/>
      <c r="C56" s="3"/>
      <c r="D56" s="4"/>
      <c r="E56" s="3"/>
      <c r="F56" s="5"/>
      <c r="G56" s="6"/>
      <c r="H56" s="3"/>
      <c r="I56" s="3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customFormat="false" ht="14.25" hidden="false" customHeight="true" outlineLevel="0" collapsed="false">
      <c r="A57" s="3"/>
      <c r="B57" s="3"/>
      <c r="C57" s="3"/>
      <c r="D57" s="4"/>
      <c r="E57" s="3"/>
      <c r="F57" s="5"/>
      <c r="G57" s="6"/>
      <c r="H57" s="3"/>
      <c r="I57" s="3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customFormat="false" ht="14.25" hidden="false" customHeight="true" outlineLevel="0" collapsed="false">
      <c r="A58" s="3"/>
      <c r="B58" s="3"/>
      <c r="C58" s="3"/>
      <c r="D58" s="4"/>
      <c r="E58" s="3"/>
      <c r="F58" s="5"/>
      <c r="G58" s="6"/>
      <c r="H58" s="3"/>
      <c r="I58" s="3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customFormat="false" ht="14.25" hidden="false" customHeight="true" outlineLevel="0" collapsed="false">
      <c r="A59" s="3"/>
      <c r="B59" s="3"/>
      <c r="C59" s="3"/>
      <c r="D59" s="4"/>
      <c r="E59" s="3"/>
      <c r="F59" s="5"/>
      <c r="G59" s="6"/>
      <c r="H59" s="3"/>
      <c r="I59" s="3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customFormat="false" ht="14.25" hidden="false" customHeight="true" outlineLevel="0" collapsed="false">
      <c r="A60" s="3"/>
      <c r="B60" s="3"/>
      <c r="C60" s="3"/>
      <c r="D60" s="4"/>
      <c r="E60" s="3"/>
      <c r="F60" s="5"/>
      <c r="G60" s="6"/>
      <c r="H60" s="3"/>
      <c r="I60" s="3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customFormat="false" ht="14.25" hidden="false" customHeight="true" outlineLevel="0" collapsed="false">
      <c r="A61" s="3"/>
      <c r="B61" s="3"/>
      <c r="C61" s="3"/>
      <c r="D61" s="4"/>
      <c r="E61" s="3"/>
      <c r="F61" s="5"/>
      <c r="G61" s="6"/>
      <c r="H61" s="3"/>
      <c r="I61" s="3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customFormat="false" ht="14.25" hidden="false" customHeight="true" outlineLevel="0" collapsed="false">
      <c r="A62" s="3"/>
      <c r="B62" s="3"/>
      <c r="C62" s="3"/>
      <c r="D62" s="4"/>
      <c r="E62" s="3"/>
      <c r="F62" s="5"/>
      <c r="G62" s="6"/>
      <c r="H62" s="3"/>
      <c r="I62" s="3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customFormat="false" ht="14.25" hidden="false" customHeight="true" outlineLevel="0" collapsed="false">
      <c r="A63" s="3"/>
      <c r="B63" s="3"/>
      <c r="C63" s="3"/>
      <c r="D63" s="4"/>
      <c r="E63" s="3"/>
      <c r="F63" s="5"/>
      <c r="G63" s="6"/>
      <c r="H63" s="3"/>
      <c r="I63" s="3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4.25" hidden="false" customHeight="true" outlineLevel="0" collapsed="false">
      <c r="A64" s="3"/>
      <c r="B64" s="3"/>
      <c r="C64" s="3"/>
      <c r="D64" s="4"/>
      <c r="E64" s="3"/>
      <c r="F64" s="5"/>
      <c r="G64" s="6"/>
      <c r="H64" s="3"/>
      <c r="I64" s="3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customFormat="false" ht="14.25" hidden="false" customHeight="true" outlineLevel="0" collapsed="false">
      <c r="A65" s="3"/>
      <c r="B65" s="3"/>
      <c r="C65" s="3"/>
      <c r="D65" s="4"/>
      <c r="E65" s="3"/>
      <c r="F65" s="5"/>
      <c r="G65" s="6"/>
      <c r="H65" s="3"/>
      <c r="I65" s="3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customFormat="false" ht="14.25" hidden="false" customHeight="true" outlineLevel="0" collapsed="false">
      <c r="A66" s="3"/>
      <c r="B66" s="3"/>
      <c r="C66" s="3"/>
      <c r="D66" s="4"/>
      <c r="E66" s="3"/>
      <c r="F66" s="5"/>
      <c r="G66" s="6"/>
      <c r="H66" s="3"/>
      <c r="I66" s="3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customFormat="false" ht="14.25" hidden="false" customHeight="true" outlineLevel="0" collapsed="false">
      <c r="A67" s="3"/>
      <c r="B67" s="3"/>
      <c r="C67" s="3"/>
      <c r="D67" s="4"/>
      <c r="E67" s="3"/>
      <c r="F67" s="5"/>
      <c r="G67" s="6"/>
      <c r="H67" s="3"/>
      <c r="I67" s="3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customFormat="false" ht="14.25" hidden="false" customHeight="true" outlineLevel="0" collapsed="false">
      <c r="A68" s="3"/>
      <c r="B68" s="3"/>
      <c r="C68" s="3"/>
      <c r="D68" s="4"/>
      <c r="E68" s="3"/>
      <c r="F68" s="5"/>
      <c r="G68" s="6"/>
      <c r="H68" s="3"/>
      <c r="I68" s="3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customFormat="false" ht="14.25" hidden="false" customHeight="true" outlineLevel="0" collapsed="false">
      <c r="A69" s="3"/>
      <c r="B69" s="3"/>
      <c r="C69" s="3"/>
      <c r="D69" s="4"/>
      <c r="E69" s="3"/>
      <c r="F69" s="5"/>
      <c r="G69" s="6"/>
      <c r="H69" s="3"/>
      <c r="I69" s="3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customFormat="false" ht="14.25" hidden="false" customHeight="true" outlineLevel="0" collapsed="false">
      <c r="A70" s="3"/>
      <c r="B70" s="3"/>
      <c r="C70" s="3"/>
      <c r="D70" s="4"/>
      <c r="E70" s="3"/>
      <c r="F70" s="5"/>
      <c r="G70" s="6"/>
      <c r="H70" s="3"/>
      <c r="I70" s="3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customFormat="false" ht="14.25" hidden="false" customHeight="true" outlineLevel="0" collapsed="false">
      <c r="A71" s="3"/>
      <c r="B71" s="3"/>
      <c r="C71" s="3"/>
      <c r="D71" s="4"/>
      <c r="E71" s="3"/>
      <c r="F71" s="5"/>
      <c r="G71" s="6"/>
      <c r="H71" s="3"/>
      <c r="I71" s="3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customFormat="false" ht="14.25" hidden="false" customHeight="true" outlineLevel="0" collapsed="false">
      <c r="A72" s="3"/>
      <c r="B72" s="3"/>
      <c r="C72" s="3"/>
      <c r="D72" s="4"/>
      <c r="E72" s="3"/>
      <c r="F72" s="5"/>
      <c r="G72" s="6"/>
      <c r="H72" s="3"/>
      <c r="I72" s="3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customFormat="false" ht="14.25" hidden="false" customHeight="true" outlineLevel="0" collapsed="false">
      <c r="A73" s="3"/>
      <c r="B73" s="3"/>
      <c r="C73" s="3"/>
      <c r="D73" s="4"/>
      <c r="E73" s="3"/>
      <c r="F73" s="5"/>
      <c r="G73" s="6"/>
      <c r="H73" s="3"/>
      <c r="I73" s="3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customFormat="false" ht="14.25" hidden="false" customHeight="true" outlineLevel="0" collapsed="false">
      <c r="A74" s="3"/>
      <c r="B74" s="3"/>
      <c r="C74" s="3"/>
      <c r="D74" s="4"/>
      <c r="E74" s="3"/>
      <c r="F74" s="5"/>
      <c r="G74" s="6"/>
      <c r="H74" s="3"/>
      <c r="I74" s="3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customFormat="false" ht="14.25" hidden="false" customHeight="true" outlineLevel="0" collapsed="false">
      <c r="A75" s="3"/>
      <c r="B75" s="3"/>
      <c r="C75" s="3"/>
      <c r="D75" s="4"/>
      <c r="E75" s="3"/>
      <c r="F75" s="5"/>
      <c r="G75" s="6"/>
      <c r="H75" s="3"/>
      <c r="I75" s="3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customFormat="false" ht="14.25" hidden="false" customHeight="true" outlineLevel="0" collapsed="false">
      <c r="A76" s="3"/>
      <c r="B76" s="3"/>
      <c r="C76" s="3"/>
      <c r="D76" s="4"/>
      <c r="E76" s="3"/>
      <c r="F76" s="5"/>
      <c r="G76" s="6"/>
      <c r="H76" s="3"/>
      <c r="I76" s="3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customFormat="false" ht="14.25" hidden="false" customHeight="true" outlineLevel="0" collapsed="false">
      <c r="A77" s="3"/>
      <c r="B77" s="3"/>
      <c r="C77" s="3"/>
      <c r="D77" s="4"/>
      <c r="E77" s="3"/>
      <c r="F77" s="5"/>
      <c r="G77" s="6"/>
      <c r="H77" s="3"/>
      <c r="I77" s="3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customFormat="false" ht="14.25" hidden="false" customHeight="true" outlineLevel="0" collapsed="false">
      <c r="A78" s="3"/>
      <c r="B78" s="3"/>
      <c r="C78" s="3"/>
      <c r="D78" s="4"/>
      <c r="E78" s="3"/>
      <c r="F78" s="5"/>
      <c r="G78" s="6"/>
      <c r="H78" s="3"/>
      <c r="I78" s="3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customFormat="false" ht="14.25" hidden="false" customHeight="true" outlineLevel="0" collapsed="false">
      <c r="A79" s="3"/>
      <c r="B79" s="3"/>
      <c r="C79" s="3"/>
      <c r="D79" s="4"/>
      <c r="E79" s="3"/>
      <c r="F79" s="5"/>
      <c r="G79" s="6"/>
      <c r="H79" s="3"/>
      <c r="I79" s="3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customFormat="false" ht="14.25" hidden="false" customHeight="true" outlineLevel="0" collapsed="false">
      <c r="A80" s="3"/>
      <c r="B80" s="3"/>
      <c r="C80" s="3"/>
      <c r="D80" s="4"/>
      <c r="E80" s="3"/>
      <c r="F80" s="5"/>
      <c r="G80" s="6"/>
      <c r="H80" s="3"/>
      <c r="I80" s="3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customFormat="false" ht="14.25" hidden="false" customHeight="true" outlineLevel="0" collapsed="false">
      <c r="A81" s="3"/>
      <c r="B81" s="3"/>
      <c r="C81" s="3"/>
      <c r="D81" s="4"/>
      <c r="E81" s="3"/>
      <c r="F81" s="5"/>
      <c r="G81" s="6"/>
      <c r="H81" s="3"/>
      <c r="I81" s="3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customFormat="false" ht="14.25" hidden="false" customHeight="true" outlineLevel="0" collapsed="false">
      <c r="A82" s="3"/>
      <c r="B82" s="3"/>
      <c r="C82" s="3"/>
      <c r="D82" s="4"/>
      <c r="E82" s="3"/>
      <c r="F82" s="5"/>
      <c r="G82" s="6"/>
      <c r="H82" s="3"/>
      <c r="I82" s="3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customFormat="false" ht="14.25" hidden="false" customHeight="true" outlineLevel="0" collapsed="false">
      <c r="A83" s="3"/>
      <c r="B83" s="3"/>
      <c r="C83" s="3"/>
      <c r="D83" s="4"/>
      <c r="E83" s="3"/>
      <c r="F83" s="5"/>
      <c r="G83" s="6"/>
      <c r="H83" s="3"/>
      <c r="I83" s="3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customFormat="false" ht="14.25" hidden="false" customHeight="true" outlineLevel="0" collapsed="false">
      <c r="A84" s="3"/>
      <c r="B84" s="3"/>
      <c r="C84" s="3"/>
      <c r="D84" s="4"/>
      <c r="E84" s="3"/>
      <c r="F84" s="5"/>
      <c r="G84" s="6"/>
      <c r="H84" s="3"/>
      <c r="I84" s="3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customFormat="false" ht="14.25" hidden="false" customHeight="true" outlineLevel="0" collapsed="false">
      <c r="A85" s="3"/>
      <c r="B85" s="3"/>
      <c r="C85" s="3"/>
      <c r="D85" s="4"/>
      <c r="E85" s="3"/>
      <c r="F85" s="5"/>
      <c r="G85" s="6"/>
      <c r="H85" s="3"/>
      <c r="I85" s="3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customFormat="false" ht="14.25" hidden="false" customHeight="true" outlineLevel="0" collapsed="false">
      <c r="A86" s="3"/>
      <c r="B86" s="3"/>
      <c r="C86" s="3"/>
      <c r="D86" s="4"/>
      <c r="E86" s="3"/>
      <c r="F86" s="5"/>
      <c r="G86" s="6"/>
      <c r="H86" s="3"/>
      <c r="I86" s="3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customFormat="false" ht="14.25" hidden="false" customHeight="true" outlineLevel="0" collapsed="false">
      <c r="A87" s="3"/>
      <c r="B87" s="3"/>
      <c r="C87" s="3"/>
      <c r="D87" s="4"/>
      <c r="E87" s="3"/>
      <c r="F87" s="5"/>
      <c r="G87" s="6"/>
      <c r="H87" s="3"/>
      <c r="I87" s="3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customFormat="false" ht="14.25" hidden="false" customHeight="true" outlineLevel="0" collapsed="false">
      <c r="A88" s="3"/>
      <c r="B88" s="3"/>
      <c r="C88" s="3"/>
      <c r="D88" s="4"/>
      <c r="E88" s="3"/>
      <c r="F88" s="5"/>
      <c r="G88" s="6"/>
      <c r="H88" s="3"/>
      <c r="I88" s="3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customFormat="false" ht="14.25" hidden="false" customHeight="true" outlineLevel="0" collapsed="false">
      <c r="A89" s="3"/>
      <c r="B89" s="3"/>
      <c r="C89" s="3"/>
      <c r="D89" s="4"/>
      <c r="E89" s="3"/>
      <c r="F89" s="5"/>
      <c r="G89" s="6"/>
      <c r="H89" s="3"/>
      <c r="I89" s="3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customFormat="false" ht="14.25" hidden="false" customHeight="true" outlineLevel="0" collapsed="false">
      <c r="A90" s="3"/>
      <c r="B90" s="3"/>
      <c r="C90" s="3"/>
      <c r="D90" s="4"/>
      <c r="E90" s="3"/>
      <c r="F90" s="5"/>
      <c r="G90" s="6"/>
      <c r="H90" s="3"/>
      <c r="I90" s="3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customFormat="false" ht="14.25" hidden="false" customHeight="true" outlineLevel="0" collapsed="false">
      <c r="A91" s="3"/>
      <c r="B91" s="3"/>
      <c r="C91" s="3"/>
      <c r="D91" s="4"/>
      <c r="E91" s="3"/>
      <c r="F91" s="5"/>
      <c r="G91" s="6"/>
      <c r="H91" s="3"/>
      <c r="I91" s="3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customFormat="false" ht="14.25" hidden="false" customHeight="true" outlineLevel="0" collapsed="false">
      <c r="A92" s="3"/>
      <c r="B92" s="3"/>
      <c r="C92" s="3"/>
      <c r="D92" s="4"/>
      <c r="E92" s="3"/>
      <c r="F92" s="5"/>
      <c r="G92" s="6"/>
      <c r="H92" s="3"/>
      <c r="I92" s="3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customFormat="false" ht="14.25" hidden="false" customHeight="true" outlineLevel="0" collapsed="false">
      <c r="A93" s="3"/>
      <c r="B93" s="3"/>
      <c r="C93" s="3"/>
      <c r="D93" s="4"/>
      <c r="E93" s="3"/>
      <c r="F93" s="5"/>
      <c r="G93" s="6"/>
      <c r="H93" s="3"/>
      <c r="I93" s="3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customFormat="false" ht="14.25" hidden="false" customHeight="true" outlineLevel="0" collapsed="false">
      <c r="A94" s="3"/>
      <c r="B94" s="3"/>
      <c r="C94" s="3"/>
      <c r="D94" s="4"/>
      <c r="E94" s="3"/>
      <c r="F94" s="5"/>
      <c r="G94" s="6"/>
      <c r="H94" s="3"/>
      <c r="I94" s="3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customFormat="false" ht="14.25" hidden="false" customHeight="true" outlineLevel="0" collapsed="false">
      <c r="A95" s="3"/>
      <c r="B95" s="3"/>
      <c r="C95" s="3"/>
      <c r="D95" s="4"/>
      <c r="E95" s="3"/>
      <c r="F95" s="5"/>
      <c r="G95" s="6"/>
      <c r="H95" s="3"/>
      <c r="I95" s="3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customFormat="false" ht="14.25" hidden="false" customHeight="true" outlineLevel="0" collapsed="false">
      <c r="A96" s="3"/>
      <c r="B96" s="3"/>
      <c r="C96" s="3"/>
      <c r="D96" s="4"/>
      <c r="E96" s="3"/>
      <c r="F96" s="5"/>
      <c r="G96" s="6"/>
      <c r="H96" s="3"/>
      <c r="I96" s="3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customFormat="false" ht="14.25" hidden="false" customHeight="true" outlineLevel="0" collapsed="false">
      <c r="A97" s="3"/>
      <c r="B97" s="3"/>
      <c r="C97" s="3"/>
      <c r="D97" s="4"/>
      <c r="E97" s="3"/>
      <c r="F97" s="5"/>
      <c r="G97" s="6"/>
      <c r="H97" s="3"/>
      <c r="I97" s="3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customFormat="false" ht="14.25" hidden="false" customHeight="true" outlineLevel="0" collapsed="false">
      <c r="A98" s="3"/>
      <c r="B98" s="3"/>
      <c r="C98" s="3"/>
      <c r="D98" s="4"/>
      <c r="E98" s="3"/>
      <c r="F98" s="5"/>
      <c r="G98" s="6"/>
      <c r="H98" s="3"/>
      <c r="I98" s="3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customFormat="false" ht="14.25" hidden="false" customHeight="true" outlineLevel="0" collapsed="false">
      <c r="A99" s="3"/>
      <c r="B99" s="3"/>
      <c r="C99" s="3"/>
      <c r="D99" s="4"/>
      <c r="E99" s="3"/>
      <c r="F99" s="5"/>
      <c r="G99" s="6"/>
      <c r="H99" s="3"/>
      <c r="I99" s="3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customFormat="false" ht="14.25" hidden="false" customHeight="true" outlineLevel="0" collapsed="false">
      <c r="A100" s="3"/>
      <c r="B100" s="3"/>
      <c r="C100" s="3"/>
      <c r="D100" s="4"/>
      <c r="E100" s="3"/>
      <c r="F100" s="5"/>
      <c r="G100" s="6"/>
      <c r="H100" s="3"/>
      <c r="I100" s="3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customFormat="false" ht="14.25" hidden="false" customHeight="true" outlineLevel="0" collapsed="false">
      <c r="A101" s="3"/>
      <c r="B101" s="3"/>
      <c r="C101" s="3"/>
      <c r="D101" s="4"/>
      <c r="E101" s="3"/>
      <c r="F101" s="5"/>
      <c r="G101" s="6"/>
      <c r="H101" s="3"/>
      <c r="I101" s="3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customFormat="false" ht="14.25" hidden="false" customHeight="true" outlineLevel="0" collapsed="false">
      <c r="A102" s="3"/>
      <c r="B102" s="3"/>
      <c r="C102" s="3"/>
      <c r="D102" s="4"/>
      <c r="E102" s="3"/>
      <c r="F102" s="5"/>
      <c r="G102" s="6"/>
      <c r="H102" s="3"/>
      <c r="I102" s="3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customFormat="false" ht="14.25" hidden="false" customHeight="true" outlineLevel="0" collapsed="false">
      <c r="A103" s="3"/>
      <c r="B103" s="3"/>
      <c r="C103" s="3"/>
      <c r="D103" s="4"/>
      <c r="E103" s="3"/>
      <c r="F103" s="5"/>
      <c r="G103" s="6"/>
      <c r="H103" s="3"/>
      <c r="I103" s="3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customFormat="false" ht="14.25" hidden="false" customHeight="true" outlineLevel="0" collapsed="false">
      <c r="A104" s="3"/>
      <c r="B104" s="3"/>
      <c r="C104" s="3"/>
      <c r="D104" s="4"/>
      <c r="E104" s="3"/>
      <c r="F104" s="5"/>
      <c r="G104" s="6"/>
      <c r="H104" s="3"/>
      <c r="I104" s="3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customFormat="false" ht="14.25" hidden="false" customHeight="true" outlineLevel="0" collapsed="false">
      <c r="A105" s="3"/>
      <c r="B105" s="3"/>
      <c r="C105" s="3"/>
      <c r="D105" s="4"/>
      <c r="E105" s="3"/>
      <c r="F105" s="5"/>
      <c r="G105" s="6"/>
      <c r="H105" s="3"/>
      <c r="I105" s="3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customFormat="false" ht="14.25" hidden="false" customHeight="true" outlineLevel="0" collapsed="false">
      <c r="A106" s="3"/>
      <c r="B106" s="3"/>
      <c r="C106" s="3"/>
      <c r="D106" s="4"/>
      <c r="E106" s="3"/>
      <c r="F106" s="5"/>
      <c r="G106" s="6"/>
      <c r="H106" s="3"/>
      <c r="I106" s="3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customFormat="false" ht="14.25" hidden="false" customHeight="true" outlineLevel="0" collapsed="false">
      <c r="A107" s="3"/>
      <c r="B107" s="3"/>
      <c r="C107" s="3"/>
      <c r="D107" s="4"/>
      <c r="E107" s="3"/>
      <c r="F107" s="5"/>
      <c r="G107" s="6"/>
      <c r="H107" s="3"/>
      <c r="I107" s="3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customFormat="false" ht="14.25" hidden="false" customHeight="true" outlineLevel="0" collapsed="false">
      <c r="A108" s="3"/>
      <c r="B108" s="3"/>
      <c r="C108" s="3"/>
      <c r="D108" s="4"/>
      <c r="E108" s="3"/>
      <c r="F108" s="5"/>
      <c r="G108" s="6"/>
      <c r="H108" s="3"/>
      <c r="I108" s="3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customFormat="false" ht="14.25" hidden="false" customHeight="true" outlineLevel="0" collapsed="false">
      <c r="A109" s="3"/>
      <c r="B109" s="3"/>
      <c r="C109" s="3"/>
      <c r="D109" s="4"/>
      <c r="E109" s="3"/>
      <c r="F109" s="5"/>
      <c r="G109" s="6"/>
      <c r="H109" s="3"/>
      <c r="I109" s="3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customFormat="false" ht="14.25" hidden="false" customHeight="true" outlineLevel="0" collapsed="false">
      <c r="A110" s="3"/>
      <c r="B110" s="3"/>
      <c r="C110" s="3"/>
      <c r="D110" s="4"/>
      <c r="E110" s="3"/>
      <c r="F110" s="5"/>
      <c r="G110" s="6"/>
      <c r="H110" s="3"/>
      <c r="I110" s="3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customFormat="false" ht="14.25" hidden="false" customHeight="true" outlineLevel="0" collapsed="false">
      <c r="A111" s="3"/>
      <c r="B111" s="3"/>
      <c r="C111" s="3"/>
      <c r="D111" s="4"/>
      <c r="E111" s="3"/>
      <c r="F111" s="5"/>
      <c r="G111" s="6"/>
      <c r="H111" s="3"/>
      <c r="I111" s="3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customFormat="false" ht="14.25" hidden="false" customHeight="true" outlineLevel="0" collapsed="false">
      <c r="A112" s="3"/>
      <c r="B112" s="3"/>
      <c r="C112" s="3"/>
      <c r="D112" s="4"/>
      <c r="E112" s="3"/>
      <c r="F112" s="5"/>
      <c r="G112" s="6"/>
      <c r="H112" s="3"/>
      <c r="I112" s="3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customFormat="false" ht="14.25" hidden="false" customHeight="true" outlineLevel="0" collapsed="false">
      <c r="A113" s="3"/>
      <c r="B113" s="3"/>
      <c r="C113" s="3"/>
      <c r="D113" s="4"/>
      <c r="E113" s="3"/>
      <c r="F113" s="5"/>
      <c r="G113" s="6"/>
      <c r="H113" s="3"/>
      <c r="I113" s="3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customFormat="false" ht="14.25" hidden="false" customHeight="true" outlineLevel="0" collapsed="false">
      <c r="A114" s="3"/>
      <c r="B114" s="3"/>
      <c r="C114" s="3"/>
      <c r="D114" s="4"/>
      <c r="E114" s="3"/>
      <c r="F114" s="5"/>
      <c r="G114" s="6"/>
      <c r="H114" s="3"/>
      <c r="I114" s="3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customFormat="false" ht="14.25" hidden="false" customHeight="true" outlineLevel="0" collapsed="false">
      <c r="A115" s="3"/>
      <c r="B115" s="3"/>
      <c r="C115" s="3"/>
      <c r="D115" s="4"/>
      <c r="E115" s="3"/>
      <c r="F115" s="5"/>
      <c r="G115" s="6"/>
      <c r="H115" s="3"/>
      <c r="I115" s="3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customFormat="false" ht="14.25" hidden="false" customHeight="true" outlineLevel="0" collapsed="false">
      <c r="A116" s="3"/>
      <c r="B116" s="3"/>
      <c r="C116" s="3"/>
      <c r="D116" s="4"/>
      <c r="E116" s="3"/>
      <c r="F116" s="5"/>
      <c r="G116" s="6"/>
      <c r="H116" s="3"/>
      <c r="I116" s="3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customFormat="false" ht="14.25" hidden="false" customHeight="true" outlineLevel="0" collapsed="false">
      <c r="A117" s="3"/>
      <c r="B117" s="3"/>
      <c r="C117" s="3"/>
      <c r="D117" s="4"/>
      <c r="E117" s="3"/>
      <c r="F117" s="5"/>
      <c r="G117" s="6"/>
      <c r="H117" s="3"/>
      <c r="I117" s="3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customFormat="false" ht="14.25" hidden="false" customHeight="true" outlineLevel="0" collapsed="false">
      <c r="A118" s="3"/>
      <c r="B118" s="3"/>
      <c r="C118" s="3"/>
      <c r="D118" s="4"/>
      <c r="E118" s="3"/>
      <c r="F118" s="5"/>
      <c r="G118" s="6"/>
      <c r="H118" s="3"/>
      <c r="I118" s="3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customFormat="false" ht="14.25" hidden="false" customHeight="true" outlineLevel="0" collapsed="false">
      <c r="A119" s="3"/>
      <c r="B119" s="3"/>
      <c r="C119" s="3"/>
      <c r="D119" s="4"/>
      <c r="E119" s="3"/>
      <c r="F119" s="5"/>
      <c r="G119" s="6"/>
      <c r="H119" s="3"/>
      <c r="I119" s="3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customFormat="false" ht="14.25" hidden="false" customHeight="true" outlineLevel="0" collapsed="false">
      <c r="A120" s="3"/>
      <c r="B120" s="3"/>
      <c r="C120" s="3"/>
      <c r="D120" s="4"/>
      <c r="E120" s="3"/>
      <c r="F120" s="5"/>
      <c r="G120" s="6"/>
      <c r="H120" s="3"/>
      <c r="I120" s="3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customFormat="false" ht="14.25" hidden="false" customHeight="true" outlineLevel="0" collapsed="false">
      <c r="A121" s="3"/>
      <c r="B121" s="3"/>
      <c r="C121" s="3"/>
      <c r="D121" s="4"/>
      <c r="E121" s="3"/>
      <c r="F121" s="5"/>
      <c r="G121" s="6"/>
      <c r="H121" s="3"/>
      <c r="I121" s="3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customFormat="false" ht="14.25" hidden="false" customHeight="true" outlineLevel="0" collapsed="false">
      <c r="A122" s="3"/>
      <c r="B122" s="3"/>
      <c r="C122" s="3"/>
      <c r="D122" s="4"/>
      <c r="E122" s="3"/>
      <c r="F122" s="5"/>
      <c r="G122" s="6"/>
      <c r="H122" s="3"/>
      <c r="I122" s="3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customFormat="false" ht="14.25" hidden="false" customHeight="true" outlineLevel="0" collapsed="false">
      <c r="A123" s="3"/>
      <c r="B123" s="3"/>
      <c r="C123" s="3"/>
      <c r="D123" s="4"/>
      <c r="E123" s="3"/>
      <c r="F123" s="5"/>
      <c r="G123" s="6"/>
      <c r="H123" s="3"/>
      <c r="I123" s="3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customFormat="false" ht="14.25" hidden="false" customHeight="true" outlineLevel="0" collapsed="false">
      <c r="A124" s="3"/>
      <c r="B124" s="3"/>
      <c r="C124" s="3"/>
      <c r="D124" s="4"/>
      <c r="E124" s="3"/>
      <c r="F124" s="5"/>
      <c r="G124" s="6"/>
      <c r="H124" s="3"/>
      <c r="I124" s="3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customFormat="false" ht="14.25" hidden="false" customHeight="true" outlineLevel="0" collapsed="false">
      <c r="A125" s="3"/>
      <c r="B125" s="3"/>
      <c r="C125" s="3"/>
      <c r="D125" s="4"/>
      <c r="E125" s="3"/>
      <c r="F125" s="5"/>
      <c r="G125" s="6"/>
      <c r="H125" s="3"/>
      <c r="I125" s="3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customFormat="false" ht="14.25" hidden="false" customHeight="true" outlineLevel="0" collapsed="false">
      <c r="A126" s="3"/>
      <c r="B126" s="3"/>
      <c r="C126" s="3"/>
      <c r="D126" s="4"/>
      <c r="E126" s="3"/>
      <c r="F126" s="5"/>
      <c r="G126" s="6"/>
      <c r="H126" s="3"/>
      <c r="I126" s="3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customFormat="false" ht="14.25" hidden="false" customHeight="true" outlineLevel="0" collapsed="false">
      <c r="A127" s="3"/>
      <c r="B127" s="3"/>
      <c r="C127" s="3"/>
      <c r="D127" s="4"/>
      <c r="E127" s="3"/>
      <c r="F127" s="5"/>
      <c r="G127" s="6"/>
      <c r="H127" s="3"/>
      <c r="I127" s="3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customFormat="false" ht="14.25" hidden="false" customHeight="true" outlineLevel="0" collapsed="false">
      <c r="A128" s="3"/>
      <c r="B128" s="3"/>
      <c r="C128" s="3"/>
      <c r="D128" s="4"/>
      <c r="E128" s="3"/>
      <c r="F128" s="5"/>
      <c r="G128" s="6"/>
      <c r="H128" s="3"/>
      <c r="I128" s="3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customFormat="false" ht="14.25" hidden="false" customHeight="true" outlineLevel="0" collapsed="false">
      <c r="A129" s="3"/>
      <c r="B129" s="3"/>
      <c r="C129" s="3"/>
      <c r="D129" s="4"/>
      <c r="E129" s="3"/>
      <c r="F129" s="5"/>
      <c r="G129" s="6"/>
      <c r="H129" s="3"/>
      <c r="I129" s="3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customFormat="false" ht="14.25" hidden="false" customHeight="true" outlineLevel="0" collapsed="false">
      <c r="A130" s="3"/>
      <c r="B130" s="3"/>
      <c r="C130" s="3"/>
      <c r="D130" s="4"/>
      <c r="E130" s="3"/>
      <c r="F130" s="5"/>
      <c r="G130" s="6"/>
      <c r="H130" s="3"/>
      <c r="I130" s="3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customFormat="false" ht="14.25" hidden="false" customHeight="true" outlineLevel="0" collapsed="false">
      <c r="A131" s="3"/>
      <c r="B131" s="3"/>
      <c r="C131" s="3"/>
      <c r="D131" s="4"/>
      <c r="E131" s="3"/>
      <c r="F131" s="5"/>
      <c r="G131" s="6"/>
      <c r="H131" s="3"/>
      <c r="I131" s="3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customFormat="false" ht="14.25" hidden="false" customHeight="true" outlineLevel="0" collapsed="false">
      <c r="A132" s="3"/>
      <c r="B132" s="3"/>
      <c r="C132" s="3"/>
      <c r="D132" s="4"/>
      <c r="E132" s="3"/>
      <c r="F132" s="5"/>
      <c r="G132" s="6"/>
      <c r="H132" s="3"/>
      <c r="I132" s="3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customFormat="false" ht="14.25" hidden="false" customHeight="true" outlineLevel="0" collapsed="false">
      <c r="A133" s="3"/>
      <c r="B133" s="3"/>
      <c r="C133" s="3"/>
      <c r="D133" s="4"/>
      <c r="E133" s="3"/>
      <c r="F133" s="5"/>
      <c r="G133" s="6"/>
      <c r="H133" s="3"/>
      <c r="I133" s="3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customFormat="false" ht="14.25" hidden="false" customHeight="true" outlineLevel="0" collapsed="false">
      <c r="A134" s="3"/>
      <c r="B134" s="3"/>
      <c r="C134" s="3"/>
      <c r="D134" s="4"/>
      <c r="E134" s="3"/>
      <c r="F134" s="5"/>
      <c r="G134" s="6"/>
      <c r="H134" s="3"/>
      <c r="I134" s="3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customFormat="false" ht="14.25" hidden="false" customHeight="true" outlineLevel="0" collapsed="false">
      <c r="A135" s="3"/>
      <c r="B135" s="3"/>
      <c r="C135" s="3"/>
      <c r="D135" s="4"/>
      <c r="E135" s="3"/>
      <c r="F135" s="5"/>
      <c r="G135" s="6"/>
      <c r="H135" s="3"/>
      <c r="I135" s="3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customFormat="false" ht="14.25" hidden="false" customHeight="true" outlineLevel="0" collapsed="false">
      <c r="A136" s="3"/>
      <c r="B136" s="3"/>
      <c r="C136" s="3"/>
      <c r="D136" s="4"/>
      <c r="E136" s="3"/>
      <c r="F136" s="5"/>
      <c r="G136" s="6"/>
      <c r="H136" s="3"/>
      <c r="I136" s="3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customFormat="false" ht="14.25" hidden="false" customHeight="true" outlineLevel="0" collapsed="false">
      <c r="A137" s="3"/>
      <c r="B137" s="3"/>
      <c r="C137" s="3"/>
      <c r="D137" s="4"/>
      <c r="E137" s="3"/>
      <c r="F137" s="5"/>
      <c r="G137" s="6"/>
      <c r="H137" s="3"/>
      <c r="I137" s="3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customFormat="false" ht="14.25" hidden="false" customHeight="true" outlineLevel="0" collapsed="false">
      <c r="A138" s="3"/>
      <c r="B138" s="3"/>
      <c r="C138" s="3"/>
      <c r="D138" s="4"/>
      <c r="E138" s="3"/>
      <c r="F138" s="5"/>
      <c r="G138" s="6"/>
      <c r="H138" s="3"/>
      <c r="I138" s="3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customFormat="false" ht="14.25" hidden="false" customHeight="true" outlineLevel="0" collapsed="false">
      <c r="A139" s="3"/>
      <c r="B139" s="3"/>
      <c r="C139" s="3"/>
      <c r="D139" s="4"/>
      <c r="E139" s="3"/>
      <c r="F139" s="5"/>
      <c r="G139" s="6"/>
      <c r="H139" s="3"/>
      <c r="I139" s="3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customFormat="false" ht="14.25" hidden="false" customHeight="true" outlineLevel="0" collapsed="false">
      <c r="A140" s="3"/>
      <c r="B140" s="3"/>
      <c r="C140" s="3"/>
      <c r="D140" s="4"/>
      <c r="E140" s="3"/>
      <c r="F140" s="5"/>
      <c r="G140" s="6"/>
      <c r="H140" s="3"/>
      <c r="I140" s="3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customFormat="false" ht="14.25" hidden="false" customHeight="true" outlineLevel="0" collapsed="false">
      <c r="A141" s="3"/>
      <c r="B141" s="3"/>
      <c r="C141" s="3"/>
      <c r="D141" s="4"/>
      <c r="E141" s="3"/>
      <c r="F141" s="5"/>
      <c r="G141" s="6"/>
      <c r="H141" s="3"/>
      <c r="I141" s="3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customFormat="false" ht="14.25" hidden="false" customHeight="true" outlineLevel="0" collapsed="false">
      <c r="A142" s="3"/>
      <c r="B142" s="3"/>
      <c r="C142" s="3"/>
      <c r="D142" s="4"/>
      <c r="E142" s="3"/>
      <c r="F142" s="5"/>
      <c r="G142" s="6"/>
      <c r="H142" s="3"/>
      <c r="I142" s="3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customFormat="false" ht="14.25" hidden="false" customHeight="true" outlineLevel="0" collapsed="false">
      <c r="A143" s="3"/>
      <c r="B143" s="3"/>
      <c r="C143" s="3"/>
      <c r="D143" s="4"/>
      <c r="E143" s="3"/>
      <c r="F143" s="5"/>
      <c r="G143" s="6"/>
      <c r="H143" s="3"/>
      <c r="I143" s="3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customFormat="false" ht="14.25" hidden="false" customHeight="true" outlineLevel="0" collapsed="false">
      <c r="A144" s="3"/>
      <c r="B144" s="3"/>
      <c r="C144" s="3"/>
      <c r="D144" s="4"/>
      <c r="E144" s="3"/>
      <c r="F144" s="5"/>
      <c r="G144" s="6"/>
      <c r="H144" s="3"/>
      <c r="I144" s="3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customFormat="false" ht="14.25" hidden="false" customHeight="true" outlineLevel="0" collapsed="false">
      <c r="A145" s="3"/>
      <c r="B145" s="3"/>
      <c r="C145" s="3"/>
      <c r="D145" s="4"/>
      <c r="E145" s="3"/>
      <c r="F145" s="5"/>
      <c r="G145" s="6"/>
      <c r="H145" s="3"/>
      <c r="I145" s="3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customFormat="false" ht="14.25" hidden="false" customHeight="true" outlineLevel="0" collapsed="false">
      <c r="A146" s="3"/>
      <c r="B146" s="3"/>
      <c r="C146" s="3"/>
      <c r="D146" s="4"/>
      <c r="E146" s="3"/>
      <c r="F146" s="5"/>
      <c r="G146" s="6"/>
      <c r="H146" s="3"/>
      <c r="I146" s="3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customFormat="false" ht="14.25" hidden="false" customHeight="true" outlineLevel="0" collapsed="false">
      <c r="A147" s="3"/>
      <c r="B147" s="3"/>
      <c r="C147" s="3"/>
      <c r="D147" s="4"/>
      <c r="E147" s="3"/>
      <c r="F147" s="5"/>
      <c r="G147" s="6"/>
      <c r="H147" s="3"/>
      <c r="I147" s="3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customFormat="false" ht="14.25" hidden="false" customHeight="true" outlineLevel="0" collapsed="false">
      <c r="A148" s="3"/>
      <c r="B148" s="3"/>
      <c r="C148" s="3"/>
      <c r="D148" s="4"/>
      <c r="E148" s="3"/>
      <c r="F148" s="5"/>
      <c r="G148" s="6"/>
      <c r="H148" s="3"/>
      <c r="I148" s="3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customFormat="false" ht="14.25" hidden="false" customHeight="true" outlineLevel="0" collapsed="false">
      <c r="A149" s="3"/>
      <c r="B149" s="3"/>
      <c r="C149" s="3"/>
      <c r="D149" s="4"/>
      <c r="E149" s="3"/>
      <c r="F149" s="5"/>
      <c r="G149" s="6"/>
      <c r="H149" s="3"/>
      <c r="I149" s="3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customFormat="false" ht="14.25" hidden="false" customHeight="true" outlineLevel="0" collapsed="false">
      <c r="A150" s="3"/>
      <c r="B150" s="3"/>
      <c r="C150" s="3"/>
      <c r="D150" s="4"/>
      <c r="E150" s="3"/>
      <c r="F150" s="5"/>
      <c r="G150" s="6"/>
      <c r="H150" s="3"/>
      <c r="I150" s="3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customFormat="false" ht="14.25" hidden="false" customHeight="true" outlineLevel="0" collapsed="false">
      <c r="A151" s="3"/>
      <c r="B151" s="3"/>
      <c r="C151" s="3"/>
      <c r="D151" s="4"/>
      <c r="E151" s="3"/>
      <c r="F151" s="5"/>
      <c r="G151" s="6"/>
      <c r="H151" s="3"/>
      <c r="I151" s="3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customFormat="false" ht="14.25" hidden="false" customHeight="true" outlineLevel="0" collapsed="false">
      <c r="A152" s="3"/>
      <c r="B152" s="3"/>
      <c r="C152" s="3"/>
      <c r="D152" s="4"/>
      <c r="E152" s="3"/>
      <c r="F152" s="5"/>
      <c r="G152" s="6"/>
      <c r="H152" s="3"/>
      <c r="I152" s="3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customFormat="false" ht="14.25" hidden="false" customHeight="true" outlineLevel="0" collapsed="false">
      <c r="A153" s="3"/>
      <c r="B153" s="3"/>
      <c r="C153" s="3"/>
      <c r="D153" s="4"/>
      <c r="E153" s="3"/>
      <c r="F153" s="5"/>
      <c r="G153" s="6"/>
      <c r="H153" s="3"/>
      <c r="I153" s="3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customFormat="false" ht="14.25" hidden="false" customHeight="true" outlineLevel="0" collapsed="false">
      <c r="A154" s="3"/>
      <c r="B154" s="3"/>
      <c r="C154" s="3"/>
      <c r="D154" s="4"/>
      <c r="E154" s="3"/>
      <c r="F154" s="5"/>
      <c r="G154" s="6"/>
      <c r="H154" s="3"/>
      <c r="I154" s="3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customFormat="false" ht="14.25" hidden="false" customHeight="true" outlineLevel="0" collapsed="false">
      <c r="A155" s="3"/>
      <c r="B155" s="3"/>
      <c r="C155" s="3"/>
      <c r="D155" s="4"/>
      <c r="E155" s="3"/>
      <c r="F155" s="5"/>
      <c r="G155" s="6"/>
      <c r="H155" s="3"/>
      <c r="I155" s="3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customFormat="false" ht="14.25" hidden="false" customHeight="true" outlineLevel="0" collapsed="false">
      <c r="A156" s="3"/>
      <c r="B156" s="3"/>
      <c r="C156" s="3"/>
      <c r="D156" s="4"/>
      <c r="E156" s="3"/>
      <c r="F156" s="5"/>
      <c r="G156" s="6"/>
      <c r="H156" s="3"/>
      <c r="I156" s="3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customFormat="false" ht="14.25" hidden="false" customHeight="true" outlineLevel="0" collapsed="false">
      <c r="A157" s="3"/>
      <c r="B157" s="3"/>
      <c r="C157" s="3"/>
      <c r="D157" s="4"/>
      <c r="E157" s="3"/>
      <c r="F157" s="5"/>
      <c r="G157" s="6"/>
      <c r="H157" s="3"/>
      <c r="I157" s="3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customFormat="false" ht="14.25" hidden="false" customHeight="true" outlineLevel="0" collapsed="false">
      <c r="A158" s="3"/>
      <c r="B158" s="3"/>
      <c r="C158" s="3"/>
      <c r="D158" s="4"/>
      <c r="E158" s="3"/>
      <c r="F158" s="5"/>
      <c r="G158" s="6"/>
      <c r="H158" s="3"/>
      <c r="I158" s="3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customFormat="false" ht="14.25" hidden="false" customHeight="true" outlineLevel="0" collapsed="false">
      <c r="A159" s="3"/>
      <c r="B159" s="3"/>
      <c r="C159" s="3"/>
      <c r="D159" s="4"/>
      <c r="E159" s="3"/>
      <c r="F159" s="5"/>
      <c r="G159" s="6"/>
      <c r="H159" s="3"/>
      <c r="I159" s="3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customFormat="false" ht="14.25" hidden="false" customHeight="true" outlineLevel="0" collapsed="false">
      <c r="A160" s="3"/>
      <c r="B160" s="3"/>
      <c r="C160" s="3"/>
      <c r="D160" s="4"/>
      <c r="E160" s="3"/>
      <c r="F160" s="5"/>
      <c r="G160" s="6"/>
      <c r="H160" s="3"/>
      <c r="I160" s="3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customFormat="false" ht="14.25" hidden="false" customHeight="true" outlineLevel="0" collapsed="false">
      <c r="A161" s="3"/>
      <c r="B161" s="3"/>
      <c r="C161" s="3"/>
      <c r="D161" s="4"/>
      <c r="E161" s="3"/>
      <c r="F161" s="5"/>
      <c r="G161" s="6"/>
      <c r="H161" s="3"/>
      <c r="I161" s="3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customFormat="false" ht="14.25" hidden="false" customHeight="true" outlineLevel="0" collapsed="false">
      <c r="A162" s="3"/>
      <c r="B162" s="3"/>
      <c r="C162" s="3"/>
      <c r="D162" s="4"/>
      <c r="E162" s="3"/>
      <c r="F162" s="5"/>
      <c r="G162" s="6"/>
      <c r="H162" s="3"/>
      <c r="I162" s="3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customFormat="false" ht="14.25" hidden="false" customHeight="true" outlineLevel="0" collapsed="false">
      <c r="A163" s="3"/>
      <c r="B163" s="3"/>
      <c r="C163" s="3"/>
      <c r="D163" s="4"/>
      <c r="E163" s="3"/>
      <c r="F163" s="5"/>
      <c r="G163" s="6"/>
      <c r="H163" s="3"/>
      <c r="I163" s="3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customFormat="false" ht="14.25" hidden="false" customHeight="true" outlineLevel="0" collapsed="false">
      <c r="A164" s="3"/>
      <c r="B164" s="3"/>
      <c r="C164" s="3"/>
      <c r="D164" s="4"/>
      <c r="E164" s="3"/>
      <c r="F164" s="5"/>
      <c r="G164" s="6"/>
      <c r="H164" s="3"/>
      <c r="I164" s="3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customFormat="false" ht="14.25" hidden="false" customHeight="true" outlineLevel="0" collapsed="false">
      <c r="A165" s="3"/>
      <c r="B165" s="3"/>
      <c r="C165" s="3"/>
      <c r="D165" s="4"/>
      <c r="E165" s="3"/>
      <c r="F165" s="5"/>
      <c r="G165" s="6"/>
      <c r="H165" s="3"/>
      <c r="I165" s="3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customFormat="false" ht="14.25" hidden="false" customHeight="true" outlineLevel="0" collapsed="false">
      <c r="A166" s="3"/>
      <c r="B166" s="3"/>
      <c r="C166" s="3"/>
      <c r="D166" s="4"/>
      <c r="E166" s="3"/>
      <c r="F166" s="5"/>
      <c r="G166" s="6"/>
      <c r="H166" s="3"/>
      <c r="I166" s="3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customFormat="false" ht="14.25" hidden="false" customHeight="true" outlineLevel="0" collapsed="false">
      <c r="A167" s="3"/>
      <c r="B167" s="3"/>
      <c r="C167" s="3"/>
      <c r="D167" s="4"/>
      <c r="E167" s="3"/>
      <c r="F167" s="5"/>
      <c r="G167" s="6"/>
      <c r="H167" s="3"/>
      <c r="I167" s="3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customFormat="false" ht="14.25" hidden="false" customHeight="true" outlineLevel="0" collapsed="false">
      <c r="A168" s="3"/>
      <c r="B168" s="3"/>
      <c r="C168" s="3"/>
      <c r="D168" s="4"/>
      <c r="E168" s="3"/>
      <c r="F168" s="5"/>
      <c r="G168" s="6"/>
      <c r="H168" s="3"/>
      <c r="I168" s="3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customFormat="false" ht="14.25" hidden="false" customHeight="true" outlineLevel="0" collapsed="false">
      <c r="A169" s="3"/>
      <c r="B169" s="3"/>
      <c r="C169" s="3"/>
      <c r="D169" s="4"/>
      <c r="E169" s="3"/>
      <c r="F169" s="5"/>
      <c r="G169" s="6"/>
      <c r="H169" s="3"/>
      <c r="I169" s="3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customFormat="false" ht="14.25" hidden="false" customHeight="true" outlineLevel="0" collapsed="false">
      <c r="A170" s="3"/>
      <c r="B170" s="3"/>
      <c r="C170" s="3"/>
      <c r="D170" s="4"/>
      <c r="E170" s="3"/>
      <c r="F170" s="5"/>
      <c r="G170" s="6"/>
      <c r="H170" s="3"/>
      <c r="I170" s="3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customFormat="false" ht="14.25" hidden="false" customHeight="true" outlineLevel="0" collapsed="false">
      <c r="A171" s="3"/>
      <c r="B171" s="3"/>
      <c r="C171" s="3"/>
      <c r="D171" s="4"/>
      <c r="E171" s="3"/>
      <c r="F171" s="5"/>
      <c r="G171" s="6"/>
      <c r="H171" s="3"/>
      <c r="I171" s="3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customFormat="false" ht="14.25" hidden="false" customHeight="true" outlineLevel="0" collapsed="false">
      <c r="A172" s="3"/>
      <c r="B172" s="3"/>
      <c r="C172" s="3"/>
      <c r="D172" s="4"/>
      <c r="E172" s="3"/>
      <c r="F172" s="5"/>
      <c r="G172" s="6"/>
      <c r="H172" s="3"/>
      <c r="I172" s="3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customFormat="false" ht="14.25" hidden="false" customHeight="true" outlineLevel="0" collapsed="false">
      <c r="A173" s="3"/>
      <c r="B173" s="3"/>
      <c r="C173" s="3"/>
      <c r="D173" s="4"/>
      <c r="E173" s="3"/>
      <c r="F173" s="5"/>
      <c r="G173" s="6"/>
      <c r="H173" s="3"/>
      <c r="I173" s="3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customFormat="false" ht="14.25" hidden="false" customHeight="true" outlineLevel="0" collapsed="false">
      <c r="A174" s="3"/>
      <c r="B174" s="3"/>
      <c r="C174" s="3"/>
      <c r="D174" s="4"/>
      <c r="E174" s="3"/>
      <c r="F174" s="5"/>
      <c r="G174" s="6"/>
      <c r="H174" s="3"/>
      <c r="I174" s="3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customFormat="false" ht="14.25" hidden="false" customHeight="true" outlineLevel="0" collapsed="false">
      <c r="A175" s="3"/>
      <c r="B175" s="3"/>
      <c r="C175" s="3"/>
      <c r="D175" s="4"/>
      <c r="E175" s="3"/>
      <c r="F175" s="5"/>
      <c r="G175" s="6"/>
      <c r="H175" s="3"/>
      <c r="I175" s="3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customFormat="false" ht="14.25" hidden="false" customHeight="true" outlineLevel="0" collapsed="false">
      <c r="A176" s="3"/>
      <c r="B176" s="3"/>
      <c r="C176" s="3"/>
      <c r="D176" s="4"/>
      <c r="E176" s="3"/>
      <c r="F176" s="5"/>
      <c r="G176" s="6"/>
      <c r="H176" s="3"/>
      <c r="I176" s="3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customFormat="false" ht="14.25" hidden="false" customHeight="true" outlineLevel="0" collapsed="false">
      <c r="A177" s="3"/>
      <c r="B177" s="3"/>
      <c r="C177" s="3"/>
      <c r="D177" s="4"/>
      <c r="E177" s="3"/>
      <c r="F177" s="5"/>
      <c r="G177" s="6"/>
      <c r="H177" s="3"/>
      <c r="I177" s="3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customFormat="false" ht="14.25" hidden="false" customHeight="true" outlineLevel="0" collapsed="false">
      <c r="A178" s="3"/>
      <c r="B178" s="3"/>
      <c r="C178" s="3"/>
      <c r="D178" s="4"/>
      <c r="E178" s="3"/>
      <c r="F178" s="5"/>
      <c r="G178" s="6"/>
      <c r="H178" s="3"/>
      <c r="I178" s="3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customFormat="false" ht="14.25" hidden="false" customHeight="true" outlineLevel="0" collapsed="false">
      <c r="A179" s="3"/>
      <c r="B179" s="3"/>
      <c r="C179" s="3"/>
      <c r="D179" s="4"/>
      <c r="E179" s="3"/>
      <c r="F179" s="5"/>
      <c r="G179" s="6"/>
      <c r="H179" s="3"/>
      <c r="I179" s="3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customFormat="false" ht="14.25" hidden="false" customHeight="true" outlineLevel="0" collapsed="false">
      <c r="A180" s="3"/>
      <c r="B180" s="3"/>
      <c r="C180" s="3"/>
      <c r="D180" s="4"/>
      <c r="E180" s="3"/>
      <c r="F180" s="5"/>
      <c r="G180" s="6"/>
      <c r="H180" s="3"/>
      <c r="I180" s="3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customFormat="false" ht="14.25" hidden="false" customHeight="true" outlineLevel="0" collapsed="false">
      <c r="A181" s="3"/>
      <c r="B181" s="3"/>
      <c r="C181" s="3"/>
      <c r="D181" s="4"/>
      <c r="E181" s="3"/>
      <c r="F181" s="5"/>
      <c r="G181" s="6"/>
      <c r="H181" s="3"/>
      <c r="I181" s="3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customFormat="false" ht="14.25" hidden="false" customHeight="true" outlineLevel="0" collapsed="false">
      <c r="A182" s="3"/>
      <c r="B182" s="3"/>
      <c r="C182" s="3"/>
      <c r="D182" s="4"/>
      <c r="E182" s="3"/>
      <c r="F182" s="5"/>
      <c r="G182" s="6"/>
      <c r="H182" s="3"/>
      <c r="I182" s="3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customFormat="false" ht="14.25" hidden="false" customHeight="true" outlineLevel="0" collapsed="false">
      <c r="A183" s="3"/>
      <c r="B183" s="3"/>
      <c r="C183" s="3"/>
      <c r="D183" s="4"/>
      <c r="E183" s="3"/>
      <c r="F183" s="5"/>
      <c r="G183" s="6"/>
      <c r="H183" s="3"/>
      <c r="I183" s="3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customFormat="false" ht="14.25" hidden="false" customHeight="true" outlineLevel="0" collapsed="false">
      <c r="A184" s="3"/>
      <c r="B184" s="3"/>
      <c r="C184" s="3"/>
      <c r="D184" s="4"/>
      <c r="E184" s="3"/>
      <c r="F184" s="5"/>
      <c r="G184" s="6"/>
      <c r="H184" s="3"/>
      <c r="I184" s="3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customFormat="false" ht="14.25" hidden="false" customHeight="true" outlineLevel="0" collapsed="false">
      <c r="A185" s="3"/>
      <c r="B185" s="3"/>
      <c r="C185" s="3"/>
      <c r="D185" s="4"/>
      <c r="E185" s="3"/>
      <c r="F185" s="5"/>
      <c r="G185" s="6"/>
      <c r="H185" s="3"/>
      <c r="I185" s="3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customFormat="false" ht="14.25" hidden="false" customHeight="true" outlineLevel="0" collapsed="false">
      <c r="A186" s="3"/>
      <c r="B186" s="3"/>
      <c r="C186" s="3"/>
      <c r="D186" s="4"/>
      <c r="E186" s="3"/>
      <c r="F186" s="5"/>
      <c r="G186" s="6"/>
      <c r="H186" s="3"/>
      <c r="I186" s="3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customFormat="false" ht="14.25" hidden="false" customHeight="true" outlineLevel="0" collapsed="false">
      <c r="A187" s="3"/>
      <c r="B187" s="3"/>
      <c r="C187" s="3"/>
      <c r="D187" s="4"/>
      <c r="E187" s="3"/>
      <c r="F187" s="5"/>
      <c r="G187" s="6"/>
      <c r="H187" s="3"/>
      <c r="I187" s="3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customFormat="false" ht="14.25" hidden="false" customHeight="true" outlineLevel="0" collapsed="false">
      <c r="A188" s="3"/>
      <c r="B188" s="3"/>
      <c r="C188" s="3"/>
      <c r="D188" s="4"/>
      <c r="E188" s="3"/>
      <c r="F188" s="5"/>
      <c r="G188" s="6"/>
      <c r="H188" s="3"/>
      <c r="I188" s="3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customFormat="false" ht="14.25" hidden="false" customHeight="true" outlineLevel="0" collapsed="false">
      <c r="A189" s="3"/>
      <c r="B189" s="3"/>
      <c r="C189" s="3"/>
      <c r="D189" s="4"/>
      <c r="E189" s="3"/>
      <c r="F189" s="5"/>
      <c r="G189" s="6"/>
      <c r="H189" s="3"/>
      <c r="I189" s="3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customFormat="false" ht="14.25" hidden="false" customHeight="true" outlineLevel="0" collapsed="false">
      <c r="A190" s="3"/>
      <c r="B190" s="3"/>
      <c r="C190" s="3"/>
      <c r="D190" s="4"/>
      <c r="E190" s="3"/>
      <c r="F190" s="5"/>
      <c r="G190" s="6"/>
      <c r="H190" s="3"/>
      <c r="I190" s="3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customFormat="false" ht="14.25" hidden="false" customHeight="true" outlineLevel="0" collapsed="false">
      <c r="A191" s="3"/>
      <c r="B191" s="3"/>
      <c r="C191" s="3"/>
      <c r="D191" s="4"/>
      <c r="E191" s="3"/>
      <c r="F191" s="5"/>
      <c r="G191" s="6"/>
      <c r="H191" s="3"/>
      <c r="I191" s="3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customFormat="false" ht="14.25" hidden="false" customHeight="true" outlineLevel="0" collapsed="false">
      <c r="A192" s="3"/>
      <c r="B192" s="3"/>
      <c r="C192" s="3"/>
      <c r="D192" s="4"/>
      <c r="E192" s="3"/>
      <c r="F192" s="5"/>
      <c r="G192" s="6"/>
      <c r="H192" s="3"/>
      <c r="I192" s="3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customFormat="false" ht="14.25" hidden="false" customHeight="true" outlineLevel="0" collapsed="false">
      <c r="A193" s="3"/>
      <c r="B193" s="3"/>
      <c r="C193" s="3"/>
      <c r="D193" s="4"/>
      <c r="E193" s="3"/>
      <c r="F193" s="5"/>
      <c r="G193" s="6"/>
      <c r="H193" s="3"/>
      <c r="I193" s="3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customFormat="false" ht="14.25" hidden="false" customHeight="true" outlineLevel="0" collapsed="false">
      <c r="A194" s="3"/>
      <c r="B194" s="3"/>
      <c r="C194" s="3"/>
      <c r="D194" s="4"/>
      <c r="E194" s="3"/>
      <c r="F194" s="5"/>
      <c r="G194" s="6"/>
      <c r="H194" s="3"/>
      <c r="I194" s="3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customFormat="false" ht="14.25" hidden="false" customHeight="true" outlineLevel="0" collapsed="false">
      <c r="A195" s="3"/>
      <c r="B195" s="3"/>
      <c r="C195" s="3"/>
      <c r="D195" s="4"/>
      <c r="E195" s="3"/>
      <c r="F195" s="5"/>
      <c r="G195" s="6"/>
      <c r="H195" s="3"/>
      <c r="I195" s="3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customFormat="false" ht="14.25" hidden="false" customHeight="true" outlineLevel="0" collapsed="false">
      <c r="A196" s="3"/>
      <c r="B196" s="3"/>
      <c r="C196" s="3"/>
      <c r="D196" s="4"/>
      <c r="E196" s="3"/>
      <c r="F196" s="5"/>
      <c r="G196" s="6"/>
      <c r="H196" s="3"/>
      <c r="I196" s="3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customFormat="false" ht="14.25" hidden="false" customHeight="true" outlineLevel="0" collapsed="false">
      <c r="A197" s="3"/>
      <c r="B197" s="3"/>
      <c r="C197" s="3"/>
      <c r="D197" s="4"/>
      <c r="E197" s="3"/>
      <c r="F197" s="5"/>
      <c r="G197" s="6"/>
      <c r="H197" s="3"/>
      <c r="I197" s="3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customFormat="false" ht="14.25" hidden="false" customHeight="true" outlineLevel="0" collapsed="false">
      <c r="A198" s="3"/>
      <c r="B198" s="3"/>
      <c r="C198" s="3"/>
      <c r="D198" s="4"/>
      <c r="E198" s="3"/>
      <c r="F198" s="5"/>
      <c r="G198" s="6"/>
      <c r="H198" s="3"/>
      <c r="I198" s="3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customFormat="false" ht="14.25" hidden="false" customHeight="true" outlineLevel="0" collapsed="false">
      <c r="A199" s="3"/>
      <c r="B199" s="3"/>
      <c r="C199" s="3"/>
      <c r="D199" s="4"/>
      <c r="E199" s="3"/>
      <c r="F199" s="5"/>
      <c r="G199" s="6"/>
      <c r="H199" s="3"/>
      <c r="I199" s="3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customFormat="false" ht="14.25" hidden="false" customHeight="true" outlineLevel="0" collapsed="false">
      <c r="A200" s="3"/>
      <c r="B200" s="3"/>
      <c r="C200" s="3"/>
      <c r="D200" s="4"/>
      <c r="E200" s="3"/>
      <c r="F200" s="5"/>
      <c r="G200" s="6"/>
      <c r="H200" s="3"/>
      <c r="I200" s="3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customFormat="false" ht="14.25" hidden="false" customHeight="true" outlineLevel="0" collapsed="false">
      <c r="A201" s="3"/>
      <c r="B201" s="3"/>
      <c r="C201" s="3"/>
      <c r="D201" s="4"/>
      <c r="E201" s="3"/>
      <c r="F201" s="5"/>
      <c r="G201" s="6"/>
      <c r="H201" s="3"/>
      <c r="I201" s="3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customFormat="false" ht="14.25" hidden="false" customHeight="true" outlineLevel="0" collapsed="false">
      <c r="A202" s="3"/>
      <c r="B202" s="3"/>
      <c r="C202" s="3"/>
      <c r="D202" s="4"/>
      <c r="E202" s="3"/>
      <c r="F202" s="5"/>
      <c r="G202" s="6"/>
      <c r="H202" s="3"/>
      <c r="I202" s="3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customFormat="false" ht="14.25" hidden="false" customHeight="true" outlineLevel="0" collapsed="false">
      <c r="A203" s="3"/>
      <c r="B203" s="3"/>
      <c r="C203" s="3"/>
      <c r="D203" s="4"/>
      <c r="E203" s="3"/>
      <c r="F203" s="5"/>
      <c r="G203" s="6"/>
      <c r="H203" s="3"/>
      <c r="I203" s="3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customFormat="false" ht="14.25" hidden="false" customHeight="true" outlineLevel="0" collapsed="false">
      <c r="A204" s="3"/>
      <c r="B204" s="3"/>
      <c r="C204" s="3"/>
      <c r="D204" s="4"/>
      <c r="E204" s="3"/>
      <c r="F204" s="5"/>
      <c r="G204" s="6"/>
      <c r="H204" s="3"/>
      <c r="I204" s="3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customFormat="false" ht="14.25" hidden="false" customHeight="true" outlineLevel="0" collapsed="false">
      <c r="A205" s="3"/>
      <c r="B205" s="3"/>
      <c r="C205" s="3"/>
      <c r="D205" s="4"/>
      <c r="E205" s="3"/>
      <c r="F205" s="5"/>
      <c r="G205" s="6"/>
      <c r="H205" s="3"/>
      <c r="I205" s="3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customFormat="false" ht="14.25" hidden="false" customHeight="true" outlineLevel="0" collapsed="false">
      <c r="A206" s="3"/>
      <c r="B206" s="3"/>
      <c r="C206" s="3"/>
      <c r="D206" s="4"/>
      <c r="E206" s="3"/>
      <c r="F206" s="5"/>
      <c r="G206" s="6"/>
      <c r="H206" s="3"/>
      <c r="I206" s="3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customFormat="false" ht="14.25" hidden="false" customHeight="true" outlineLevel="0" collapsed="false">
      <c r="A207" s="3"/>
      <c r="B207" s="3"/>
      <c r="C207" s="3"/>
      <c r="D207" s="4"/>
      <c r="E207" s="3"/>
      <c r="F207" s="5"/>
      <c r="G207" s="6"/>
      <c r="H207" s="3"/>
      <c r="I207" s="3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customFormat="false" ht="14.25" hidden="false" customHeight="true" outlineLevel="0" collapsed="false">
      <c r="A208" s="3"/>
      <c r="B208" s="3"/>
      <c r="C208" s="3"/>
      <c r="D208" s="4"/>
      <c r="E208" s="3"/>
      <c r="F208" s="5"/>
      <c r="G208" s="6"/>
      <c r="H208" s="3"/>
      <c r="I208" s="3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customFormat="false" ht="14.25" hidden="false" customHeight="true" outlineLevel="0" collapsed="false">
      <c r="A209" s="3"/>
      <c r="B209" s="3"/>
      <c r="C209" s="3"/>
      <c r="D209" s="4"/>
      <c r="E209" s="3"/>
      <c r="F209" s="5"/>
      <c r="G209" s="6"/>
      <c r="H209" s="3"/>
      <c r="I209" s="3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customFormat="false" ht="14.25" hidden="false" customHeight="true" outlineLevel="0" collapsed="false">
      <c r="A210" s="3"/>
      <c r="B210" s="3"/>
      <c r="C210" s="3"/>
      <c r="D210" s="4"/>
      <c r="E210" s="3"/>
      <c r="F210" s="5"/>
      <c r="G210" s="6"/>
      <c r="H210" s="3"/>
      <c r="I210" s="3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customFormat="false" ht="14.25" hidden="false" customHeight="true" outlineLevel="0" collapsed="false">
      <c r="A211" s="3"/>
      <c r="B211" s="3"/>
      <c r="C211" s="3"/>
      <c r="D211" s="4"/>
      <c r="E211" s="3"/>
      <c r="F211" s="5"/>
      <c r="G211" s="6"/>
      <c r="H211" s="3"/>
      <c r="I211" s="3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customFormat="false" ht="14.25" hidden="false" customHeight="true" outlineLevel="0" collapsed="false">
      <c r="A212" s="3"/>
      <c r="B212" s="3"/>
      <c r="C212" s="3"/>
      <c r="D212" s="4"/>
      <c r="E212" s="3"/>
      <c r="F212" s="5"/>
      <c r="G212" s="6"/>
      <c r="H212" s="3"/>
      <c r="I212" s="3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customFormat="false" ht="14.25" hidden="false" customHeight="true" outlineLevel="0" collapsed="false">
      <c r="A213" s="3"/>
      <c r="B213" s="3"/>
      <c r="C213" s="3"/>
      <c r="D213" s="4"/>
      <c r="E213" s="3"/>
      <c r="F213" s="5"/>
      <c r="G213" s="6"/>
      <c r="H213" s="3"/>
      <c r="I213" s="3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customFormat="false" ht="14.25" hidden="false" customHeight="true" outlineLevel="0" collapsed="false">
      <c r="A214" s="3"/>
      <c r="B214" s="3"/>
      <c r="C214" s="3"/>
      <c r="D214" s="4"/>
      <c r="E214" s="3"/>
      <c r="F214" s="5"/>
      <c r="G214" s="6"/>
      <c r="H214" s="3"/>
      <c r="I214" s="3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customFormat="false" ht="14.25" hidden="false" customHeight="true" outlineLevel="0" collapsed="false">
      <c r="A215" s="3"/>
      <c r="B215" s="3"/>
      <c r="C215" s="3"/>
      <c r="D215" s="4"/>
      <c r="E215" s="3"/>
      <c r="F215" s="5"/>
      <c r="G215" s="6"/>
      <c r="H215" s="3"/>
      <c r="I215" s="3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customFormat="false" ht="14.25" hidden="false" customHeight="true" outlineLevel="0" collapsed="false">
      <c r="A216" s="3"/>
      <c r="B216" s="3"/>
      <c r="C216" s="3"/>
      <c r="D216" s="4"/>
      <c r="E216" s="3"/>
      <c r="F216" s="5"/>
      <c r="G216" s="6"/>
      <c r="H216" s="3"/>
      <c r="I216" s="3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customFormat="false" ht="14.25" hidden="false" customHeight="true" outlineLevel="0" collapsed="false">
      <c r="A217" s="3"/>
      <c r="B217" s="3"/>
      <c r="C217" s="3"/>
      <c r="D217" s="4"/>
      <c r="E217" s="3"/>
      <c r="F217" s="5"/>
      <c r="G217" s="6"/>
      <c r="H217" s="3"/>
      <c r="I217" s="3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customFormat="false" ht="14.25" hidden="false" customHeight="true" outlineLevel="0" collapsed="false">
      <c r="A218" s="3"/>
      <c r="B218" s="3"/>
      <c r="C218" s="3"/>
      <c r="D218" s="4"/>
      <c r="E218" s="3"/>
      <c r="F218" s="5"/>
      <c r="G218" s="6"/>
      <c r="H218" s="3"/>
      <c r="I218" s="3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customFormat="false" ht="14.25" hidden="false" customHeight="true" outlineLevel="0" collapsed="false">
      <c r="A219" s="3"/>
      <c r="B219" s="3"/>
      <c r="C219" s="3"/>
      <c r="D219" s="4"/>
      <c r="E219" s="3"/>
      <c r="F219" s="5"/>
      <c r="G219" s="6"/>
      <c r="H219" s="3"/>
      <c r="I219" s="3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customFormat="false" ht="14.25" hidden="false" customHeight="true" outlineLevel="0" collapsed="false">
      <c r="A220" s="3"/>
      <c r="B220" s="3"/>
      <c r="C220" s="3"/>
      <c r="D220" s="4"/>
      <c r="E220" s="3"/>
      <c r="F220" s="5"/>
      <c r="G220" s="6"/>
      <c r="H220" s="3"/>
      <c r="I220" s="3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customFormat="false" ht="14.25" hidden="false" customHeight="true" outlineLevel="0" collapsed="false">
      <c r="A221" s="3"/>
      <c r="B221" s="3"/>
      <c r="C221" s="3"/>
      <c r="D221" s="4"/>
      <c r="E221" s="3"/>
      <c r="F221" s="5"/>
      <c r="G221" s="6"/>
      <c r="H221" s="3"/>
      <c r="I221" s="3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customFormat="false" ht="14.25" hidden="false" customHeight="true" outlineLevel="0" collapsed="false">
      <c r="A222" s="3"/>
      <c r="B222" s="3"/>
      <c r="C222" s="3"/>
      <c r="D222" s="4"/>
      <c r="E222" s="3"/>
      <c r="F222" s="5"/>
      <c r="G222" s="6"/>
      <c r="H222" s="3"/>
      <c r="I222" s="3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customFormat="false" ht="14.25" hidden="false" customHeight="true" outlineLevel="0" collapsed="false">
      <c r="A223" s="3"/>
      <c r="B223" s="3"/>
      <c r="C223" s="3"/>
      <c r="D223" s="4"/>
      <c r="E223" s="3"/>
      <c r="F223" s="5"/>
      <c r="G223" s="6"/>
      <c r="H223" s="3"/>
      <c r="I223" s="3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customFormat="false" ht="14.25" hidden="false" customHeight="true" outlineLevel="0" collapsed="false">
      <c r="A224" s="3"/>
      <c r="B224" s="3"/>
      <c r="C224" s="3"/>
      <c r="D224" s="4"/>
      <c r="E224" s="3"/>
      <c r="F224" s="5"/>
      <c r="G224" s="6"/>
      <c r="H224" s="3"/>
      <c r="I224" s="3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customFormat="false" ht="14.25" hidden="false" customHeight="true" outlineLevel="0" collapsed="false">
      <c r="A225" s="3"/>
      <c r="B225" s="3"/>
      <c r="C225" s="3"/>
      <c r="D225" s="4"/>
      <c r="E225" s="3"/>
      <c r="F225" s="5"/>
      <c r="G225" s="6"/>
      <c r="H225" s="3"/>
      <c r="I225" s="3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customFormat="false" ht="14.25" hidden="false" customHeight="true" outlineLevel="0" collapsed="false">
      <c r="A226" s="3"/>
      <c r="B226" s="3"/>
      <c r="C226" s="3"/>
      <c r="D226" s="4"/>
      <c r="E226" s="3"/>
      <c r="F226" s="5"/>
      <c r="G226" s="6"/>
      <c r="H226" s="3"/>
      <c r="I226" s="3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customFormat="false" ht="14.25" hidden="false" customHeight="true" outlineLevel="0" collapsed="false">
      <c r="A227" s="3"/>
      <c r="B227" s="3"/>
      <c r="C227" s="3"/>
      <c r="D227" s="4"/>
      <c r="E227" s="3"/>
      <c r="F227" s="5"/>
      <c r="G227" s="6"/>
      <c r="H227" s="3"/>
      <c r="I227" s="3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customFormat="false" ht="14.25" hidden="false" customHeight="true" outlineLevel="0" collapsed="false">
      <c r="A228" s="3"/>
      <c r="B228" s="3"/>
      <c r="C228" s="3"/>
      <c r="D228" s="4"/>
      <c r="E228" s="3"/>
      <c r="F228" s="5"/>
      <c r="G228" s="6"/>
      <c r="H228" s="3"/>
      <c r="I228" s="3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customFormat="false" ht="14.25" hidden="false" customHeight="true" outlineLevel="0" collapsed="false">
      <c r="A229" s="3"/>
      <c r="B229" s="3"/>
      <c r="C229" s="3"/>
      <c r="D229" s="4"/>
      <c r="E229" s="3"/>
      <c r="F229" s="5"/>
      <c r="G229" s="6"/>
      <c r="H229" s="3"/>
      <c r="I229" s="3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customFormat="false" ht="14.25" hidden="false" customHeight="true" outlineLevel="0" collapsed="false">
      <c r="A230" s="3"/>
      <c r="B230" s="3"/>
      <c r="C230" s="3"/>
      <c r="D230" s="4"/>
      <c r="E230" s="3"/>
      <c r="F230" s="5"/>
      <c r="G230" s="6"/>
      <c r="H230" s="3"/>
      <c r="I230" s="3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customFormat="false" ht="14.25" hidden="false" customHeight="true" outlineLevel="0" collapsed="false">
      <c r="A231" s="3"/>
      <c r="B231" s="3"/>
      <c r="C231" s="3"/>
      <c r="D231" s="4"/>
      <c r="E231" s="3"/>
      <c r="F231" s="5"/>
      <c r="G231" s="6"/>
      <c r="H231" s="3"/>
      <c r="I231" s="3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customFormat="false" ht="14.25" hidden="false" customHeight="true" outlineLevel="0" collapsed="false">
      <c r="A232" s="3"/>
      <c r="B232" s="3"/>
      <c r="C232" s="3"/>
      <c r="D232" s="4"/>
      <c r="E232" s="3"/>
      <c r="F232" s="5"/>
      <c r="G232" s="6"/>
      <c r="H232" s="3"/>
      <c r="I232" s="3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customFormat="false" ht="14.25" hidden="false" customHeight="true" outlineLevel="0" collapsed="false">
      <c r="A233" s="3"/>
      <c r="B233" s="3"/>
      <c r="C233" s="3"/>
      <c r="D233" s="4"/>
      <c r="E233" s="3"/>
      <c r="F233" s="5"/>
      <c r="G233" s="6"/>
      <c r="H233" s="3"/>
      <c r="I233" s="3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customFormat="false" ht="15.75" hidden="false" customHeight="true" outlineLevel="0" collapsed="false">
      <c r="C234" s="100"/>
      <c r="D234" s="101"/>
      <c r="G234" s="102"/>
      <c r="J234" s="103"/>
    </row>
    <row r="235" customFormat="false" ht="15.75" hidden="false" customHeight="true" outlineLevel="0" collapsed="false">
      <c r="C235" s="100"/>
      <c r="D235" s="101"/>
      <c r="G235" s="102"/>
      <c r="J235" s="103"/>
    </row>
    <row r="236" customFormat="false" ht="15.75" hidden="false" customHeight="true" outlineLevel="0" collapsed="false">
      <c r="C236" s="100"/>
      <c r="D236" s="101"/>
      <c r="G236" s="102"/>
      <c r="J236" s="103"/>
    </row>
    <row r="237" customFormat="false" ht="15.75" hidden="false" customHeight="true" outlineLevel="0" collapsed="false">
      <c r="C237" s="100"/>
      <c r="D237" s="101"/>
      <c r="G237" s="102"/>
      <c r="J237" s="103"/>
    </row>
    <row r="238" customFormat="false" ht="15.75" hidden="false" customHeight="true" outlineLevel="0" collapsed="false">
      <c r="C238" s="100"/>
      <c r="D238" s="101"/>
      <c r="G238" s="102"/>
      <c r="J238" s="103"/>
    </row>
    <row r="239" customFormat="false" ht="15.75" hidden="false" customHeight="true" outlineLevel="0" collapsed="false">
      <c r="C239" s="100"/>
      <c r="D239" s="101"/>
      <c r="G239" s="102"/>
      <c r="J239" s="103"/>
    </row>
    <row r="240" customFormat="false" ht="15.75" hidden="false" customHeight="true" outlineLevel="0" collapsed="false">
      <c r="C240" s="100"/>
      <c r="D240" s="101"/>
      <c r="G240" s="102"/>
      <c r="J240" s="103"/>
    </row>
    <row r="241" customFormat="false" ht="15.75" hidden="false" customHeight="true" outlineLevel="0" collapsed="false">
      <c r="C241" s="100"/>
      <c r="D241" s="101"/>
      <c r="G241" s="102"/>
      <c r="J241" s="103"/>
    </row>
    <row r="242" customFormat="false" ht="15.75" hidden="false" customHeight="true" outlineLevel="0" collapsed="false">
      <c r="C242" s="100"/>
      <c r="D242" s="101"/>
      <c r="G242" s="102"/>
      <c r="J242" s="103"/>
    </row>
    <row r="243" customFormat="false" ht="15.75" hidden="false" customHeight="true" outlineLevel="0" collapsed="false">
      <c r="C243" s="100"/>
      <c r="D243" s="101"/>
      <c r="G243" s="102"/>
      <c r="J243" s="103"/>
    </row>
    <row r="244" customFormat="false" ht="15.75" hidden="false" customHeight="true" outlineLevel="0" collapsed="false">
      <c r="C244" s="100"/>
      <c r="D244" s="101"/>
      <c r="G244" s="102"/>
      <c r="J244" s="103"/>
    </row>
    <row r="245" customFormat="false" ht="15.75" hidden="false" customHeight="true" outlineLevel="0" collapsed="false">
      <c r="C245" s="100"/>
      <c r="D245" s="101"/>
      <c r="G245" s="102"/>
      <c r="J245" s="103"/>
    </row>
    <row r="246" customFormat="false" ht="15.75" hidden="false" customHeight="true" outlineLevel="0" collapsed="false">
      <c r="C246" s="100"/>
      <c r="D246" s="101"/>
      <c r="G246" s="102"/>
      <c r="J246" s="103"/>
    </row>
    <row r="247" customFormat="false" ht="15.75" hidden="false" customHeight="true" outlineLevel="0" collapsed="false">
      <c r="C247" s="100"/>
      <c r="D247" s="101"/>
      <c r="G247" s="102"/>
      <c r="J247" s="103"/>
    </row>
    <row r="248" customFormat="false" ht="15.75" hidden="false" customHeight="true" outlineLevel="0" collapsed="false">
      <c r="C248" s="100"/>
      <c r="D248" s="101"/>
      <c r="G248" s="102"/>
      <c r="J248" s="103"/>
    </row>
    <row r="249" customFormat="false" ht="15.75" hidden="false" customHeight="true" outlineLevel="0" collapsed="false">
      <c r="C249" s="100"/>
      <c r="D249" s="101"/>
      <c r="G249" s="102"/>
      <c r="J249" s="103"/>
    </row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</sheetData>
  <mergeCells count="25">
    <mergeCell ref="E3:F3"/>
    <mergeCell ref="G3:H3"/>
    <mergeCell ref="I3:J3"/>
    <mergeCell ref="A5:A8"/>
    <mergeCell ref="A9:A10"/>
    <mergeCell ref="B9:B10"/>
    <mergeCell ref="A12:A16"/>
    <mergeCell ref="A17:A19"/>
    <mergeCell ref="A21:A24"/>
    <mergeCell ref="A25:A26"/>
    <mergeCell ref="A27:A28"/>
    <mergeCell ref="A29:A30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A34:A35"/>
    <mergeCell ref="A36:A41"/>
    <mergeCell ref="A42:A45"/>
    <mergeCell ref="A46:A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05"/>
  </cols>
  <sheetData>
    <row r="1" customFormat="false" ht="15" hidden="false" customHeight="false" outlineLevel="0" collapsed="false">
      <c r="A1" s="104" t="s">
        <v>325</v>
      </c>
    </row>
    <row r="2" customFormat="false" ht="15" hidden="false" customHeight="false" outlineLevel="0" collapsed="false">
      <c r="A2" s="105" t="s">
        <v>326</v>
      </c>
    </row>
    <row r="4" customFormat="false" ht="15" hidden="false" customHeight="false" outlineLevel="0" collapsed="false">
      <c r="A4" s="106" t="s">
        <v>327</v>
      </c>
      <c r="B4" s="106" t="s">
        <v>328</v>
      </c>
      <c r="C4" s="106" t="s">
        <v>329</v>
      </c>
      <c r="D4" s="106" t="s">
        <v>330</v>
      </c>
    </row>
    <row r="5" customFormat="false" ht="114.75" hidden="false" customHeight="true" outlineLevel="0" collapsed="false">
      <c r="A5" s="107" t="s">
        <v>331</v>
      </c>
      <c r="B5" s="108" t="s">
        <v>332</v>
      </c>
      <c r="C5" s="108" t="s">
        <v>333</v>
      </c>
      <c r="D5" s="109" t="s">
        <v>334</v>
      </c>
    </row>
    <row r="6" customFormat="false" ht="91.5" hidden="false" customHeight="true" outlineLevel="0" collapsed="false">
      <c r="A6" s="107" t="s">
        <v>335</v>
      </c>
      <c r="B6" s="108" t="s">
        <v>332</v>
      </c>
      <c r="C6" s="108" t="s">
        <v>336</v>
      </c>
      <c r="D6" s="109" t="s">
        <v>337</v>
      </c>
    </row>
    <row r="7" customFormat="false" ht="80.25" hidden="false" customHeight="true" outlineLevel="0" collapsed="false">
      <c r="A7" s="107" t="s">
        <v>338</v>
      </c>
      <c r="B7" s="108" t="s">
        <v>332</v>
      </c>
      <c r="C7" s="108" t="s">
        <v>336</v>
      </c>
      <c r="D7" s="109" t="s">
        <v>339</v>
      </c>
    </row>
    <row r="8" customFormat="false" ht="172.5" hidden="false" customHeight="true" outlineLevel="0" collapsed="false">
      <c r="A8" s="107" t="s">
        <v>340</v>
      </c>
      <c r="B8" s="108" t="s">
        <v>332</v>
      </c>
      <c r="C8" s="108" t="s">
        <v>341</v>
      </c>
      <c r="D8" s="109" t="s">
        <v>342</v>
      </c>
    </row>
    <row r="9" customFormat="false" ht="103.5" hidden="false" customHeight="true" outlineLevel="0" collapsed="false">
      <c r="A9" s="107" t="s">
        <v>343</v>
      </c>
      <c r="B9" s="108" t="s">
        <v>332</v>
      </c>
      <c r="C9" s="108" t="s">
        <v>344</v>
      </c>
      <c r="D9" s="109" t="s">
        <v>345</v>
      </c>
    </row>
    <row r="10" customFormat="false" ht="126" hidden="false" customHeight="true" outlineLevel="0" collapsed="false">
      <c r="A10" s="107" t="s">
        <v>346</v>
      </c>
      <c r="B10" s="108" t="s">
        <v>332</v>
      </c>
      <c r="C10" s="108" t="s">
        <v>347</v>
      </c>
      <c r="D10" s="109" t="s">
        <v>348</v>
      </c>
    </row>
    <row r="11" customFormat="false" ht="172.5" hidden="false" customHeight="true" outlineLevel="0" collapsed="false">
      <c r="A11" s="107" t="s">
        <v>349</v>
      </c>
      <c r="B11" s="108" t="s">
        <v>332</v>
      </c>
      <c r="C11" s="108" t="s">
        <v>350</v>
      </c>
      <c r="D11" s="109" t="s">
        <v>351</v>
      </c>
    </row>
    <row r="12" customFormat="false" ht="195" hidden="false" customHeight="true" outlineLevel="0" collapsed="false">
      <c r="A12" s="107" t="s">
        <v>352</v>
      </c>
      <c r="B12" s="108" t="s">
        <v>332</v>
      </c>
      <c r="C12" s="108" t="s">
        <v>353</v>
      </c>
      <c r="D12" s="109" t="s">
        <v>354</v>
      </c>
    </row>
    <row r="13" customFormat="false" ht="138" hidden="false" customHeight="true" outlineLevel="0" collapsed="false">
      <c r="A13" s="107" t="s">
        <v>355</v>
      </c>
      <c r="B13" s="108" t="s">
        <v>332</v>
      </c>
      <c r="C13" s="108" t="s">
        <v>356</v>
      </c>
      <c r="D13" s="109" t="s">
        <v>357</v>
      </c>
    </row>
    <row r="14" customFormat="false" ht="149.25" hidden="false" customHeight="true" outlineLevel="0" collapsed="false">
      <c r="A14" s="107" t="s">
        <v>358</v>
      </c>
      <c r="B14" s="108" t="s">
        <v>332</v>
      </c>
      <c r="C14" s="108" t="s">
        <v>359</v>
      </c>
      <c r="D14" s="109" t="s">
        <v>360</v>
      </c>
    </row>
    <row r="15" customFormat="false" ht="345" hidden="false" customHeight="true" outlineLevel="0" collapsed="false">
      <c r="A15" s="107" t="s">
        <v>361</v>
      </c>
      <c r="B15" s="108" t="s">
        <v>332</v>
      </c>
      <c r="C15" s="108" t="s">
        <v>362</v>
      </c>
      <c r="D15" s="109" t="s">
        <v>363</v>
      </c>
    </row>
    <row r="16" customFormat="false" ht="172.5" hidden="false" customHeight="true" outlineLevel="0" collapsed="false">
      <c r="A16" s="107" t="s">
        <v>364</v>
      </c>
      <c r="B16" s="108" t="s">
        <v>332</v>
      </c>
      <c r="C16" s="108" t="s">
        <v>365</v>
      </c>
      <c r="D16" s="109" t="s">
        <v>366</v>
      </c>
    </row>
    <row r="17" customFormat="false" ht="218.25" hidden="false" customHeight="true" outlineLevel="0" collapsed="false">
      <c r="A17" s="107" t="s">
        <v>367</v>
      </c>
      <c r="B17" s="108" t="s">
        <v>332</v>
      </c>
      <c r="C17" s="108" t="s">
        <v>368</v>
      </c>
      <c r="D17" s="109" t="s">
        <v>369</v>
      </c>
    </row>
    <row r="18" customFormat="false" ht="229.5" hidden="false" customHeight="true" outlineLevel="0" collapsed="false">
      <c r="A18" s="107" t="s">
        <v>370</v>
      </c>
      <c r="B18" s="108" t="s">
        <v>332</v>
      </c>
      <c r="C18" s="108" t="s">
        <v>371</v>
      </c>
      <c r="D18" s="109" t="s">
        <v>372</v>
      </c>
    </row>
    <row r="19" customFormat="false" ht="195" hidden="false" customHeight="true" outlineLevel="0" collapsed="false">
      <c r="A19" s="107" t="s">
        <v>373</v>
      </c>
      <c r="B19" s="108" t="s">
        <v>332</v>
      </c>
      <c r="C19" s="108" t="s">
        <v>374</v>
      </c>
      <c r="D19" s="109" t="s">
        <v>375</v>
      </c>
    </row>
    <row r="20" customFormat="false" ht="195" hidden="false" customHeight="true" outlineLevel="0" collapsed="false">
      <c r="A20" s="107" t="s">
        <v>376</v>
      </c>
      <c r="B20" s="108" t="s">
        <v>332</v>
      </c>
      <c r="C20" s="108" t="s">
        <v>377</v>
      </c>
      <c r="D20" s="109" t="s">
        <v>378</v>
      </c>
    </row>
    <row r="21" customFormat="false" ht="207" hidden="false" customHeight="true" outlineLevel="0" collapsed="false">
      <c r="A21" s="107" t="s">
        <v>379</v>
      </c>
      <c r="B21" s="108" t="s">
        <v>332</v>
      </c>
      <c r="C21" s="108" t="s">
        <v>380</v>
      </c>
      <c r="D21" s="109" t="s">
        <v>381</v>
      </c>
    </row>
    <row r="22" customFormat="false" ht="126" hidden="false" customHeight="true" outlineLevel="0" collapsed="false">
      <c r="A22" s="107" t="s">
        <v>382</v>
      </c>
      <c r="B22" s="108" t="s">
        <v>383</v>
      </c>
      <c r="C22" s="108" t="s">
        <v>384</v>
      </c>
      <c r="D22" s="109" t="s">
        <v>385</v>
      </c>
    </row>
    <row r="23" customFormat="false" ht="80.25" hidden="false" customHeight="true" outlineLevel="0" collapsed="false">
      <c r="A23" s="107" t="s">
        <v>386</v>
      </c>
      <c r="B23" s="108" t="s">
        <v>383</v>
      </c>
      <c r="C23" s="108" t="s">
        <v>387</v>
      </c>
      <c r="D23" s="109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84.15"/>
    <col collapsed="false" customWidth="true" hidden="false" outlineLevel="0" max="3" min="3" style="1" width="16.29"/>
    <col collapsed="false" customWidth="true" hidden="false" outlineLevel="0" max="4" min="4" style="1" width="10"/>
    <col collapsed="false" customWidth="true" hidden="false" outlineLevel="0" max="5" min="5" style="1" width="59.14"/>
    <col collapsed="false" customWidth="false" hidden="false" outlineLevel="0" max="6" min="6" style="1" width="14.42"/>
    <col collapsed="false" customWidth="true" hidden="false" outlineLevel="0" max="23" min="7" style="1" width="9.42"/>
  </cols>
  <sheetData>
    <row r="1" customFormat="false" ht="14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110" t="s">
        <v>389</v>
      </c>
      <c r="B2" s="110"/>
      <c r="C2" s="110"/>
      <c r="D2" s="111"/>
      <c r="E2" s="111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113" t="s">
        <v>7</v>
      </c>
      <c r="B3" s="114" t="s">
        <v>8</v>
      </c>
      <c r="C3" s="115" t="s">
        <v>390</v>
      </c>
      <c r="D3" s="116"/>
      <c r="E3" s="116"/>
      <c r="F3" s="11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118" t="s">
        <v>391</v>
      </c>
      <c r="B4" s="119" t="s">
        <v>392</v>
      </c>
      <c r="C4" s="120" t="s">
        <v>393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118" t="s">
        <v>394</v>
      </c>
      <c r="B5" s="119" t="s">
        <v>395</v>
      </c>
      <c r="C5" s="120" t="s">
        <v>393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118" t="s">
        <v>396</v>
      </c>
      <c r="B6" s="119" t="s">
        <v>397</v>
      </c>
      <c r="C6" s="120" t="s">
        <v>393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18" t="s">
        <v>398</v>
      </c>
      <c r="B7" s="119" t="s">
        <v>399</v>
      </c>
      <c r="C7" s="120" t="s">
        <v>393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35.25" hidden="false" customHeight="true" outlineLevel="0" collapsed="false">
      <c r="A8" s="118" t="s">
        <v>400</v>
      </c>
      <c r="B8" s="119" t="s">
        <v>401</v>
      </c>
      <c r="C8" s="121" t="s">
        <v>402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45.75" hidden="false" customHeight="true" outlineLevel="0" collapsed="false">
      <c r="A9" s="118" t="s">
        <v>403</v>
      </c>
      <c r="B9" s="119" t="s">
        <v>404</v>
      </c>
      <c r="C9" s="121" t="s">
        <v>402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36.75" hidden="false" customHeight="true" outlineLevel="0" collapsed="false">
      <c r="A10" s="118" t="s">
        <v>405</v>
      </c>
      <c r="B10" s="119" t="s">
        <v>406</v>
      </c>
      <c r="C10" s="122" t="s">
        <v>407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39" hidden="false" customHeight="true" outlineLevel="0" collapsed="false">
      <c r="A11" s="118" t="s">
        <v>408</v>
      </c>
      <c r="B11" s="119" t="s">
        <v>409</v>
      </c>
      <c r="C11" s="122" t="s">
        <v>407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118" t="s">
        <v>410</v>
      </c>
      <c r="B12" s="119" t="s">
        <v>411</v>
      </c>
      <c r="C12" s="123" t="s">
        <v>412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118" t="s">
        <v>413</v>
      </c>
      <c r="B13" s="119" t="s">
        <v>414</v>
      </c>
      <c r="C13" s="123" t="s">
        <v>412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118" t="s">
        <v>415</v>
      </c>
      <c r="B14" s="119" t="s">
        <v>416</v>
      </c>
      <c r="C14" s="124" t="s">
        <v>417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118" t="s">
        <v>418</v>
      </c>
      <c r="B15" s="119" t="s">
        <v>419</v>
      </c>
      <c r="C15" s="124" t="s">
        <v>417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118" t="s">
        <v>420</v>
      </c>
      <c r="B16" s="119" t="s">
        <v>421</v>
      </c>
      <c r="C16" s="125" t="s">
        <v>422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118" t="s">
        <v>423</v>
      </c>
      <c r="B17" s="119" t="s">
        <v>424</v>
      </c>
      <c r="C17" s="126" t="s">
        <v>425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118" t="s">
        <v>426</v>
      </c>
      <c r="B18" s="119" t="s">
        <v>427</v>
      </c>
      <c r="C18" s="126" t="s">
        <v>425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118" t="s">
        <v>428</v>
      </c>
      <c r="B19" s="119" t="s">
        <v>429</v>
      </c>
      <c r="C19" s="127" t="s">
        <v>430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128" t="s">
        <v>431</v>
      </c>
      <c r="B20" s="129" t="s">
        <v>432</v>
      </c>
      <c r="C20" s="130" t="s">
        <v>430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1" min="2" style="1" width="8"/>
    <col collapsed="false" customWidth="true" hidden="false" outlineLevel="0" max="15" min="12" style="1" width="13"/>
    <col collapsed="false" customWidth="true" hidden="false" outlineLevel="0" max="20" min="16" style="1" width="14"/>
  </cols>
  <sheetData>
    <row r="1" customFormat="false" ht="30" hidden="false" customHeight="true" outlineLevel="0" collapsed="false">
      <c r="A1" s="131" t="s">
        <v>433</v>
      </c>
      <c r="B1" s="106" t="s">
        <v>434</v>
      </c>
      <c r="C1" s="106"/>
      <c r="D1" s="106"/>
      <c r="E1" s="106"/>
      <c r="F1" s="106"/>
      <c r="G1" s="106"/>
      <c r="H1" s="106"/>
      <c r="I1" s="106"/>
      <c r="J1" s="106"/>
      <c r="K1" s="106"/>
      <c r="L1" s="132" t="s">
        <v>435</v>
      </c>
      <c r="M1" s="132"/>
      <c r="N1" s="132"/>
      <c r="O1" s="132"/>
      <c r="P1" s="133" t="s">
        <v>436</v>
      </c>
      <c r="Q1" s="133"/>
      <c r="R1" s="133"/>
      <c r="S1" s="133"/>
      <c r="T1" s="134" t="s">
        <v>437</v>
      </c>
    </row>
    <row r="2" customFormat="false" ht="31.5" hidden="false" customHeight="true" outlineLevel="0" collapsed="false">
      <c r="A2" s="131" t="s">
        <v>438</v>
      </c>
      <c r="B2" s="106" t="s">
        <v>439</v>
      </c>
      <c r="C2" s="106" t="s">
        <v>440</v>
      </c>
      <c r="D2" s="106" t="s">
        <v>441</v>
      </c>
      <c r="E2" s="106" t="s">
        <v>442</v>
      </c>
      <c r="F2" s="106" t="s">
        <v>443</v>
      </c>
      <c r="G2" s="106" t="s">
        <v>444</v>
      </c>
      <c r="H2" s="106" t="s">
        <v>445</v>
      </c>
      <c r="I2" s="106" t="s">
        <v>446</v>
      </c>
      <c r="J2" s="106" t="s">
        <v>447</v>
      </c>
      <c r="K2" s="106" t="s">
        <v>448</v>
      </c>
      <c r="L2" s="132" t="s">
        <v>449</v>
      </c>
      <c r="M2" s="132" t="s">
        <v>450</v>
      </c>
      <c r="N2" s="132" t="s">
        <v>451</v>
      </c>
      <c r="O2" s="132" t="s">
        <v>452</v>
      </c>
      <c r="P2" s="133" t="s">
        <v>453</v>
      </c>
      <c r="Q2" s="133" t="s">
        <v>454</v>
      </c>
      <c r="R2" s="133" t="s">
        <v>455</v>
      </c>
      <c r="S2" s="133" t="s">
        <v>456</v>
      </c>
      <c r="T2" s="134"/>
    </row>
    <row r="3" customFormat="false" ht="15" hidden="false" customHeight="true" outlineLevel="0" collapsed="false">
      <c r="A3" s="135" t="s">
        <v>457</v>
      </c>
      <c r="B3" s="136" t="s">
        <v>458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 t="s">
        <v>458</v>
      </c>
      <c r="R3" s="136"/>
      <c r="S3" s="136"/>
      <c r="T3" s="136" t="str">
        <f aca="false">IF(COUNTIF(B3:K3,"X")&gt;0,"OK","SIN CU")</f>
        <v>OK</v>
      </c>
    </row>
    <row r="4" customFormat="false" ht="15" hidden="false" customHeight="true" outlineLevel="0" collapsed="false">
      <c r="A4" s="135" t="s">
        <v>459</v>
      </c>
      <c r="B4" s="136"/>
      <c r="C4" s="136" t="s">
        <v>458</v>
      </c>
      <c r="D4" s="136"/>
      <c r="E4" s="136"/>
      <c r="F4" s="136"/>
      <c r="G4" s="136"/>
      <c r="H4" s="136"/>
      <c r="I4" s="136"/>
      <c r="J4" s="136"/>
      <c r="K4" s="136"/>
      <c r="L4" s="136" t="s">
        <v>458</v>
      </c>
      <c r="M4" s="136"/>
      <c r="N4" s="136"/>
      <c r="O4" s="136"/>
      <c r="P4" s="136"/>
      <c r="Q4" s="136" t="s">
        <v>458</v>
      </c>
      <c r="R4" s="136" t="s">
        <v>458</v>
      </c>
      <c r="S4" s="136"/>
      <c r="T4" s="136" t="str">
        <f aca="false">IF(COUNTIF(B4:K4,"X")&gt;0,"OK","SIN CU")</f>
        <v>OK</v>
      </c>
    </row>
    <row r="5" customFormat="false" ht="15" hidden="false" customHeight="true" outlineLevel="0" collapsed="false">
      <c r="A5" s="135" t="s">
        <v>460</v>
      </c>
      <c r="B5" s="136" t="s">
        <v>458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 t="s">
        <v>458</v>
      </c>
      <c r="R5" s="136"/>
      <c r="S5" s="136"/>
      <c r="T5" s="136" t="str">
        <f aca="false">IF(COUNTIF(B5:K5,"X")&gt;0,"OK","SIN CU")</f>
        <v>OK</v>
      </c>
    </row>
    <row r="6" customFormat="false" ht="15" hidden="false" customHeight="true" outlineLevel="0" collapsed="false">
      <c r="A6" s="135" t="s">
        <v>461</v>
      </c>
      <c r="B6" s="136" t="s">
        <v>458</v>
      </c>
      <c r="C6" s="136"/>
      <c r="D6" s="136"/>
      <c r="E6" s="136"/>
      <c r="F6" s="136"/>
      <c r="G6" s="136"/>
      <c r="H6" s="136"/>
      <c r="I6" s="136"/>
      <c r="J6" s="136"/>
      <c r="K6" s="136"/>
      <c r="L6" s="136" t="s">
        <v>458</v>
      </c>
      <c r="M6" s="136"/>
      <c r="N6" s="136"/>
      <c r="O6" s="136"/>
      <c r="P6" s="136"/>
      <c r="Q6" s="136" t="s">
        <v>458</v>
      </c>
      <c r="R6" s="136"/>
      <c r="S6" s="136"/>
      <c r="T6" s="136" t="str">
        <f aca="false">IF(COUNTIF(B6:K6,"X")&gt;0,"OK","SIN CU")</f>
        <v>OK</v>
      </c>
    </row>
    <row r="7" customFormat="false" ht="15" hidden="false" customHeight="true" outlineLevel="0" collapsed="false">
      <c r="A7" s="135" t="s">
        <v>462</v>
      </c>
      <c r="B7" s="136" t="s">
        <v>458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 t="s">
        <v>458</v>
      </c>
      <c r="R7" s="136"/>
      <c r="S7" s="136"/>
      <c r="T7" s="136" t="str">
        <f aca="false">IF(COUNTIF(B7:K7,"X")&gt;0,"OK","SIN CU")</f>
        <v>OK</v>
      </c>
    </row>
    <row r="8" customFormat="false" ht="15" hidden="false" customHeight="true" outlineLevel="0" collapsed="false">
      <c r="A8" s="135" t="s">
        <v>463</v>
      </c>
      <c r="B8" s="136" t="s">
        <v>458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 t="s">
        <v>458</v>
      </c>
      <c r="R8" s="136"/>
      <c r="S8" s="136"/>
      <c r="T8" s="136" t="str">
        <f aca="false">IF(COUNTIF(B8:K8,"X")&gt;0,"OK","SIN CU")</f>
        <v>OK</v>
      </c>
    </row>
    <row r="9" customFormat="false" ht="15" hidden="false" customHeight="true" outlineLevel="0" collapsed="false">
      <c r="A9" s="135" t="s">
        <v>464</v>
      </c>
      <c r="B9" s="136"/>
      <c r="C9" s="136"/>
      <c r="D9" s="136"/>
      <c r="E9" s="136"/>
      <c r="F9" s="136" t="s">
        <v>458</v>
      </c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 t="s">
        <v>458</v>
      </c>
      <c r="R9" s="136"/>
      <c r="S9" s="136"/>
      <c r="T9" s="136" t="str">
        <f aca="false">IF(COUNTIF(B9:K9,"X")&gt;0,"OK","SIN CU")</f>
        <v>OK</v>
      </c>
    </row>
    <row r="10" customFormat="false" ht="15" hidden="false" customHeight="true" outlineLevel="0" collapsed="false">
      <c r="A10" s="135" t="s">
        <v>465</v>
      </c>
      <c r="B10" s="136"/>
      <c r="C10" s="136"/>
      <c r="D10" s="136"/>
      <c r="E10" s="136"/>
      <c r="F10" s="136" t="s">
        <v>458</v>
      </c>
      <c r="G10" s="136"/>
      <c r="H10" s="136"/>
      <c r="I10" s="136"/>
      <c r="J10" s="136"/>
      <c r="K10" s="136"/>
      <c r="L10" s="136"/>
      <c r="M10" s="136" t="s">
        <v>458</v>
      </c>
      <c r="N10" s="136"/>
      <c r="O10" s="136"/>
      <c r="P10" s="136" t="s">
        <v>458</v>
      </c>
      <c r="Q10" s="136" t="s">
        <v>458</v>
      </c>
      <c r="R10" s="136"/>
      <c r="S10" s="136"/>
      <c r="T10" s="136" t="str">
        <f aca="false">IF(COUNTIF(B10:K10,"X")&gt;0,"OK","SIN CU")</f>
        <v>OK</v>
      </c>
    </row>
    <row r="11" customFormat="false" ht="15" hidden="false" customHeight="true" outlineLevel="0" collapsed="false">
      <c r="A11" s="135" t="s">
        <v>466</v>
      </c>
      <c r="B11" s="136"/>
      <c r="C11" s="136"/>
      <c r="D11" s="136"/>
      <c r="E11" s="136"/>
      <c r="F11" s="136" t="s">
        <v>458</v>
      </c>
      <c r="G11" s="136"/>
      <c r="H11" s="136"/>
      <c r="I11" s="136"/>
      <c r="J11" s="136"/>
      <c r="K11" s="136"/>
      <c r="L11" s="136"/>
      <c r="M11" s="136" t="s">
        <v>458</v>
      </c>
      <c r="N11" s="136"/>
      <c r="O11" s="136"/>
      <c r="P11" s="136" t="s">
        <v>458</v>
      </c>
      <c r="Q11" s="136" t="s">
        <v>458</v>
      </c>
      <c r="R11" s="136"/>
      <c r="S11" s="136"/>
      <c r="T11" s="136" t="str">
        <f aca="false">IF(COUNTIF(B11:K11,"X")&gt;0,"OK","SIN CU")</f>
        <v>OK</v>
      </c>
    </row>
    <row r="12" customFormat="false" ht="15" hidden="false" customHeight="true" outlineLevel="0" collapsed="false">
      <c r="A12" s="135" t="s">
        <v>467</v>
      </c>
      <c r="B12" s="136"/>
      <c r="C12" s="136"/>
      <c r="D12" s="136"/>
      <c r="E12" s="136"/>
      <c r="F12" s="136"/>
      <c r="G12" s="136"/>
      <c r="H12" s="136" t="s">
        <v>458</v>
      </c>
      <c r="I12" s="136"/>
      <c r="J12" s="136"/>
      <c r="K12" s="136"/>
      <c r="L12" s="136"/>
      <c r="M12" s="136"/>
      <c r="N12" s="136" t="s">
        <v>458</v>
      </c>
      <c r="O12" s="136" t="s">
        <v>458</v>
      </c>
      <c r="P12" s="136" t="s">
        <v>458</v>
      </c>
      <c r="Q12" s="136" t="s">
        <v>458</v>
      </c>
      <c r="R12" s="136" t="s">
        <v>458</v>
      </c>
      <c r="S12" s="136"/>
      <c r="T12" s="136" t="str">
        <f aca="false">IF(COUNTIF(B12:K12,"X")&gt;0,"OK","SIN CU")</f>
        <v>OK</v>
      </c>
    </row>
    <row r="13" customFormat="false" ht="15" hidden="false" customHeight="true" outlineLevel="0" collapsed="false">
      <c r="A13" s="135" t="s">
        <v>468</v>
      </c>
      <c r="B13" s="136"/>
      <c r="C13" s="136"/>
      <c r="D13" s="136"/>
      <c r="E13" s="136"/>
      <c r="F13" s="136"/>
      <c r="G13" s="136"/>
      <c r="H13" s="136" t="s">
        <v>458</v>
      </c>
      <c r="I13" s="136"/>
      <c r="J13" s="136"/>
      <c r="K13" s="136"/>
      <c r="L13" s="136"/>
      <c r="M13" s="136"/>
      <c r="N13" s="136" t="s">
        <v>458</v>
      </c>
      <c r="O13" s="136"/>
      <c r="P13" s="136" t="s">
        <v>458</v>
      </c>
      <c r="Q13" s="136" t="s">
        <v>458</v>
      </c>
      <c r="R13" s="136"/>
      <c r="S13" s="136"/>
      <c r="T13" s="136" t="str">
        <f aca="false">IF(COUNTIF(B13:K13,"X")&gt;0,"OK","SIN CU")</f>
        <v>OK</v>
      </c>
    </row>
    <row r="14" customFormat="false" ht="15" hidden="false" customHeight="true" outlineLevel="0" collapsed="false">
      <c r="A14" s="135" t="s">
        <v>469</v>
      </c>
      <c r="B14" s="136"/>
      <c r="C14" s="136"/>
      <c r="D14" s="136"/>
      <c r="E14" s="136"/>
      <c r="F14" s="136"/>
      <c r="G14" s="136"/>
      <c r="H14" s="136" t="s">
        <v>458</v>
      </c>
      <c r="I14" s="136"/>
      <c r="J14" s="136"/>
      <c r="K14" s="136"/>
      <c r="L14" s="136"/>
      <c r="M14" s="136"/>
      <c r="N14" s="136"/>
      <c r="O14" s="136" t="s">
        <v>458</v>
      </c>
      <c r="P14" s="136" t="s">
        <v>458</v>
      </c>
      <c r="Q14" s="136" t="s">
        <v>458</v>
      </c>
      <c r="R14" s="136"/>
      <c r="S14" s="136"/>
      <c r="T14" s="136" t="str">
        <f aca="false">IF(COUNTIF(B14:K14,"X")&gt;0,"OK","SIN CU")</f>
        <v>OK</v>
      </c>
    </row>
    <row r="15" customFormat="false" ht="15" hidden="false" customHeight="true" outlineLevel="0" collapsed="false">
      <c r="A15" s="135" t="s">
        <v>470</v>
      </c>
      <c r="B15" s="136"/>
      <c r="C15" s="136"/>
      <c r="D15" s="136"/>
      <c r="E15" s="136"/>
      <c r="F15" s="136"/>
      <c r="G15" s="136" t="s">
        <v>458</v>
      </c>
      <c r="H15" s="136"/>
      <c r="I15" s="136"/>
      <c r="J15" s="136"/>
      <c r="K15" s="136"/>
      <c r="L15" s="136"/>
      <c r="M15" s="136"/>
      <c r="N15" s="136"/>
      <c r="O15" s="136"/>
      <c r="P15" s="136"/>
      <c r="Q15" s="136" t="s">
        <v>458</v>
      </c>
      <c r="R15" s="136" t="s">
        <v>458</v>
      </c>
      <c r="S15" s="136"/>
      <c r="T15" s="136" t="str">
        <f aca="false">IF(COUNTIF(B15:K15,"X")&gt;0,"OK","SIN CU")</f>
        <v>OK</v>
      </c>
    </row>
    <row r="16" customFormat="false" ht="15" hidden="false" customHeight="true" outlineLevel="0" collapsed="false">
      <c r="A16" s="135" t="s">
        <v>471</v>
      </c>
      <c r="B16" s="136"/>
      <c r="C16" s="136"/>
      <c r="D16" s="136"/>
      <c r="E16" s="136"/>
      <c r="F16" s="136"/>
      <c r="G16" s="136"/>
      <c r="H16" s="136" t="s">
        <v>458</v>
      </c>
      <c r="I16" s="136"/>
      <c r="J16" s="136"/>
      <c r="K16" s="136"/>
      <c r="L16" s="136"/>
      <c r="M16" s="136"/>
      <c r="N16" s="136" t="s">
        <v>458</v>
      </c>
      <c r="O16" s="136"/>
      <c r="P16" s="136" t="s">
        <v>458</v>
      </c>
      <c r="Q16" s="136" t="s">
        <v>458</v>
      </c>
      <c r="R16" s="136" t="s">
        <v>458</v>
      </c>
      <c r="S16" s="136"/>
      <c r="T16" s="136" t="str">
        <f aca="false">IF(COUNTIF(B16:K16,"X")&gt;0,"OK","SIN CU")</f>
        <v>OK</v>
      </c>
    </row>
    <row r="17" customFormat="false" ht="15" hidden="false" customHeight="true" outlineLevel="0" collapsed="false">
      <c r="A17" s="135" t="s">
        <v>472</v>
      </c>
      <c r="B17" s="136"/>
      <c r="C17" s="136"/>
      <c r="D17" s="136"/>
      <c r="E17" s="136"/>
      <c r="F17" s="136"/>
      <c r="G17" s="136"/>
      <c r="H17" s="136" t="s">
        <v>458</v>
      </c>
      <c r="I17" s="136"/>
      <c r="J17" s="136"/>
      <c r="K17" s="136"/>
      <c r="L17" s="136"/>
      <c r="M17" s="136"/>
      <c r="N17" s="136"/>
      <c r="O17" s="136"/>
      <c r="P17" s="136"/>
      <c r="Q17" s="136" t="s">
        <v>458</v>
      </c>
      <c r="R17" s="136"/>
      <c r="S17" s="136"/>
      <c r="T17" s="136" t="str">
        <f aca="false">IF(COUNTIF(B17:K17,"X")&gt;0,"OK","SIN CU")</f>
        <v>OK</v>
      </c>
    </row>
    <row r="18" customFormat="false" ht="15" hidden="false" customHeight="true" outlineLevel="0" collapsed="false">
      <c r="A18" s="135" t="s">
        <v>473</v>
      </c>
      <c r="B18" s="136"/>
      <c r="C18" s="136"/>
      <c r="D18" s="136"/>
      <c r="E18" s="136"/>
      <c r="F18" s="136"/>
      <c r="G18" s="136"/>
      <c r="H18" s="136"/>
      <c r="I18" s="136"/>
      <c r="J18" s="136"/>
      <c r="K18" s="136" t="s">
        <v>458</v>
      </c>
      <c r="L18" s="136"/>
      <c r="M18" s="136"/>
      <c r="N18" s="136"/>
      <c r="O18" s="136"/>
      <c r="P18" s="136"/>
      <c r="Q18" s="136" t="s">
        <v>458</v>
      </c>
      <c r="R18" s="136"/>
      <c r="S18" s="136"/>
      <c r="T18" s="136" t="str">
        <f aca="false">IF(COUNTIF(B18:K18,"X")&gt;0,"OK","SIN CU")</f>
        <v>OK</v>
      </c>
    </row>
    <row r="19" customFormat="false" ht="15" hidden="false" customHeight="true" outlineLevel="0" collapsed="false">
      <c r="A19" s="135" t="s">
        <v>474</v>
      </c>
      <c r="B19" s="136" t="s">
        <v>458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 t="s">
        <v>458</v>
      </c>
      <c r="R19" s="136"/>
      <c r="S19" s="136"/>
      <c r="T19" s="136" t="str">
        <f aca="false">IF(COUNTIF(B19:K19,"X")&gt;0,"OK","SIN CU")</f>
        <v>OK</v>
      </c>
    </row>
    <row r="20" customFormat="false" ht="15" hidden="false" customHeight="true" outlineLevel="0" collapsed="false">
      <c r="A20" s="135" t="s">
        <v>475</v>
      </c>
      <c r="B20" s="136" t="s">
        <v>458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 t="s">
        <v>458</v>
      </c>
      <c r="R20" s="136"/>
      <c r="S20" s="136"/>
      <c r="T20" s="136" t="str">
        <f aca="false">IF(COUNTIF(B20:K20,"X")&gt;0,"OK","SIN CU")</f>
        <v>OK</v>
      </c>
    </row>
    <row r="21" customFormat="false" ht="15" hidden="false" customHeight="true" outlineLevel="0" collapsed="false">
      <c r="A21" s="135" t="s">
        <v>476</v>
      </c>
      <c r="B21" s="136" t="s">
        <v>458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 t="s">
        <v>458</v>
      </c>
      <c r="R21" s="136"/>
      <c r="S21" s="136"/>
      <c r="T21" s="136" t="str">
        <f aca="false">IF(COUNTIF(B21:K21,"X")&gt;0,"OK","SIN CU")</f>
        <v>OK</v>
      </c>
    </row>
    <row r="22" customFormat="false" ht="15" hidden="false" customHeight="true" outlineLevel="0" collapsed="false">
      <c r="A22" s="135" t="s">
        <v>477</v>
      </c>
      <c r="B22" s="136" t="s">
        <v>458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 t="s">
        <v>458</v>
      </c>
      <c r="R22" s="136"/>
      <c r="S22" s="136"/>
      <c r="T22" s="136" t="str">
        <f aca="false">IF(COUNTIF(B22:K22,"X")&gt;0,"OK","SIN CU")</f>
        <v>OK</v>
      </c>
    </row>
    <row r="23" customFormat="false" ht="15" hidden="false" customHeight="true" outlineLevel="0" collapsed="false">
      <c r="A23" s="135" t="s">
        <v>478</v>
      </c>
      <c r="B23" s="136"/>
      <c r="C23" s="136"/>
      <c r="D23" s="136"/>
      <c r="E23" s="136" t="s">
        <v>458</v>
      </c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 t="s">
        <v>458</v>
      </c>
      <c r="R23" s="136"/>
      <c r="S23" s="136"/>
      <c r="T23" s="136" t="str">
        <f aca="false">IF(COUNTIF(B23:K23,"X")&gt;0,"OK","SIN CU")</f>
        <v>OK</v>
      </c>
    </row>
    <row r="24" customFormat="false" ht="15" hidden="false" customHeight="true" outlineLevel="0" collapsed="false">
      <c r="A24" s="135" t="s">
        <v>479</v>
      </c>
      <c r="B24" s="136"/>
      <c r="C24" s="136"/>
      <c r="D24" s="136"/>
      <c r="E24" s="136" t="s">
        <v>458</v>
      </c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 t="s">
        <v>458</v>
      </c>
      <c r="R24" s="136"/>
      <c r="S24" s="136"/>
      <c r="T24" s="136" t="str">
        <f aca="false">IF(COUNTIF(B24:K24,"X")&gt;0,"OK","SIN CU")</f>
        <v>OK</v>
      </c>
    </row>
    <row r="25" customFormat="false" ht="15" hidden="false" customHeight="true" outlineLevel="0" collapsed="false">
      <c r="A25" s="135" t="s">
        <v>480</v>
      </c>
      <c r="B25" s="136"/>
      <c r="C25" s="136"/>
      <c r="D25" s="136" t="s">
        <v>458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 t="s">
        <v>458</v>
      </c>
      <c r="R25" s="136"/>
      <c r="S25" s="136"/>
      <c r="T25" s="136" t="str">
        <f aca="false">IF(COUNTIF(B25:K25,"X")&gt;0,"OK","SIN CU")</f>
        <v>OK</v>
      </c>
    </row>
    <row r="26" customFormat="false" ht="15" hidden="false" customHeight="true" outlineLevel="0" collapsed="false">
      <c r="A26" s="135" t="s">
        <v>481</v>
      </c>
      <c r="B26" s="136"/>
      <c r="C26" s="136"/>
      <c r="D26" s="136" t="s">
        <v>458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 t="s">
        <v>458</v>
      </c>
      <c r="R26" s="136"/>
      <c r="S26" s="136"/>
      <c r="T26" s="136" t="str">
        <f aca="false">IF(COUNTIF(B26:K26,"X")&gt;0,"OK","SIN CU")</f>
        <v>OK</v>
      </c>
    </row>
    <row r="27" customFormat="false" ht="15" hidden="false" customHeight="true" outlineLevel="0" collapsed="false">
      <c r="A27" s="135" t="s">
        <v>482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 t="s">
        <v>458</v>
      </c>
      <c r="L27" s="136"/>
      <c r="M27" s="136"/>
      <c r="N27" s="136"/>
      <c r="O27" s="136"/>
      <c r="P27" s="136"/>
      <c r="Q27" s="136" t="s">
        <v>458</v>
      </c>
      <c r="R27" s="136"/>
      <c r="S27" s="136"/>
      <c r="T27" s="136" t="str">
        <f aca="false">IF(COUNTIF(B27:K27,"X")&gt;0,"OK","SIN CU")</f>
        <v>OK</v>
      </c>
    </row>
    <row r="28" customFormat="false" ht="15" hidden="false" customHeight="true" outlineLevel="0" collapsed="false">
      <c r="A28" s="135" t="s">
        <v>483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 t="s">
        <v>458</v>
      </c>
      <c r="L28" s="136"/>
      <c r="M28" s="136"/>
      <c r="N28" s="136"/>
      <c r="O28" s="136"/>
      <c r="P28" s="136"/>
      <c r="Q28" s="136" t="s">
        <v>458</v>
      </c>
      <c r="R28" s="136"/>
      <c r="S28" s="136"/>
      <c r="T28" s="136" t="str">
        <f aca="false">IF(COUNTIF(B28:K28,"X")&gt;0,"OK","SIN CU")</f>
        <v>OK</v>
      </c>
    </row>
    <row r="29" customFormat="false" ht="15" hidden="false" customHeight="true" outlineLevel="0" collapsed="false">
      <c r="A29" s="135" t="s">
        <v>484</v>
      </c>
      <c r="B29" s="136"/>
      <c r="C29" s="136"/>
      <c r="D29" s="136"/>
      <c r="E29" s="136" t="s">
        <v>458</v>
      </c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 t="s">
        <v>458</v>
      </c>
      <c r="R29" s="136"/>
      <c r="S29" s="136"/>
      <c r="T29" s="136" t="str">
        <f aca="false">IF(COUNTIF(B29:K29,"X")&gt;0,"OK","SIN CU")</f>
        <v>OK</v>
      </c>
    </row>
    <row r="30" customFormat="false" ht="15" hidden="false" customHeight="true" outlineLevel="0" collapsed="false">
      <c r="A30" s="135" t="s">
        <v>485</v>
      </c>
      <c r="B30" s="136"/>
      <c r="C30" s="136"/>
      <c r="D30" s="136" t="s">
        <v>458</v>
      </c>
      <c r="E30" s="136" t="s">
        <v>458</v>
      </c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 t="s">
        <v>458</v>
      </c>
      <c r="R30" s="136"/>
      <c r="S30" s="136"/>
      <c r="T30" s="136" t="str">
        <f aca="false">IF(COUNTIF(B30:K30,"X")&gt;0,"OK","SIN CU")</f>
        <v>OK</v>
      </c>
    </row>
    <row r="31" customFormat="false" ht="15" hidden="false" customHeight="true" outlineLevel="0" collapsed="false">
      <c r="A31" s="135" t="s">
        <v>486</v>
      </c>
      <c r="B31" s="136"/>
      <c r="C31" s="136"/>
      <c r="D31" s="136"/>
      <c r="E31" s="136" t="s">
        <v>458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 t="s">
        <v>458</v>
      </c>
      <c r="R31" s="136"/>
      <c r="S31" s="136"/>
      <c r="T31" s="136" t="str">
        <f aca="false">IF(COUNTIF(B31:K31,"X")&gt;0,"OK","SIN CU")</f>
        <v>OK</v>
      </c>
    </row>
    <row r="32" customFormat="false" ht="15" hidden="false" customHeight="true" outlineLevel="0" collapsed="false">
      <c r="A32" s="135" t="s">
        <v>487</v>
      </c>
      <c r="B32" s="136"/>
      <c r="C32" s="136"/>
      <c r="D32" s="136"/>
      <c r="E32" s="136" t="s">
        <v>458</v>
      </c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 t="s">
        <v>458</v>
      </c>
      <c r="R32" s="136"/>
      <c r="S32" s="136"/>
      <c r="T32" s="136" t="str">
        <f aca="false">IF(COUNTIF(B32:K32,"X")&gt;0,"OK","SIN CU")</f>
        <v>OK</v>
      </c>
    </row>
    <row r="33" customFormat="false" ht="15" hidden="false" customHeight="true" outlineLevel="0" collapsed="false">
      <c r="A33" s="135" t="s">
        <v>488</v>
      </c>
      <c r="B33" s="136"/>
      <c r="C33" s="136"/>
      <c r="D33" s="136"/>
      <c r="E33" s="136"/>
      <c r="F33" s="136"/>
      <c r="G33" s="136"/>
      <c r="H33" s="136"/>
      <c r="I33" s="136"/>
      <c r="J33" s="136" t="s">
        <v>458</v>
      </c>
      <c r="K33" s="136"/>
      <c r="L33" s="136"/>
      <c r="M33" s="136"/>
      <c r="N33" s="136"/>
      <c r="O33" s="136"/>
      <c r="P33" s="136"/>
      <c r="Q33" s="136" t="s">
        <v>458</v>
      </c>
      <c r="R33" s="136"/>
      <c r="S33" s="136"/>
      <c r="T33" s="136" t="str">
        <f aca="false">IF(COUNTIF(B33:K33,"X")&gt;0,"OK","SIN CU")</f>
        <v>OK</v>
      </c>
    </row>
    <row r="34" customFormat="false" ht="15" hidden="false" customHeight="true" outlineLevel="0" collapsed="false">
      <c r="A34" s="135" t="s">
        <v>489</v>
      </c>
      <c r="B34" s="136"/>
      <c r="C34" s="136"/>
      <c r="D34" s="136"/>
      <c r="E34" s="136"/>
      <c r="F34" s="136"/>
      <c r="G34" s="136"/>
      <c r="H34" s="136"/>
      <c r="I34" s="136"/>
      <c r="J34" s="136" t="s">
        <v>458</v>
      </c>
      <c r="K34" s="136"/>
      <c r="L34" s="136"/>
      <c r="M34" s="136"/>
      <c r="N34" s="136"/>
      <c r="O34" s="136"/>
      <c r="P34" s="136"/>
      <c r="Q34" s="136" t="s">
        <v>458</v>
      </c>
      <c r="R34" s="136"/>
      <c r="S34" s="136"/>
      <c r="T34" s="136" t="str">
        <f aca="false">IF(COUNTIF(B34:K34,"X")&gt;0,"OK","SIN CU")</f>
        <v>OK</v>
      </c>
    </row>
    <row r="35" customFormat="false" ht="15" hidden="false" customHeight="true" outlineLevel="0" collapsed="false">
      <c r="A35" s="135" t="s">
        <v>490</v>
      </c>
      <c r="B35" s="136"/>
      <c r="C35" s="136"/>
      <c r="D35" s="136"/>
      <c r="E35" s="136"/>
      <c r="F35" s="136"/>
      <c r="G35" s="136"/>
      <c r="H35" s="136"/>
      <c r="I35" s="136"/>
      <c r="J35" s="136" t="s">
        <v>458</v>
      </c>
      <c r="K35" s="136"/>
      <c r="L35" s="136"/>
      <c r="M35" s="136"/>
      <c r="N35" s="136"/>
      <c r="O35" s="136"/>
      <c r="P35" s="136"/>
      <c r="Q35" s="136" t="s">
        <v>458</v>
      </c>
      <c r="R35" s="136"/>
      <c r="S35" s="136"/>
      <c r="T35" s="136" t="str">
        <f aca="false">IF(COUNTIF(B35:K35,"X")&gt;0,"OK","SIN CU")</f>
        <v>OK</v>
      </c>
    </row>
    <row r="36" customFormat="false" ht="15" hidden="false" customHeight="true" outlineLevel="0" collapsed="false">
      <c r="A36" s="135" t="s">
        <v>491</v>
      </c>
      <c r="B36" s="136"/>
      <c r="C36" s="136"/>
      <c r="D36" s="136"/>
      <c r="E36" s="136"/>
      <c r="F36" s="136"/>
      <c r="G36" s="136"/>
      <c r="H36" s="136"/>
      <c r="I36" s="136"/>
      <c r="J36" s="136" t="s">
        <v>458</v>
      </c>
      <c r="K36" s="136"/>
      <c r="L36" s="136"/>
      <c r="M36" s="136"/>
      <c r="N36" s="136"/>
      <c r="O36" s="136"/>
      <c r="P36" s="136"/>
      <c r="Q36" s="136" t="s">
        <v>458</v>
      </c>
      <c r="R36" s="136"/>
      <c r="S36" s="136"/>
      <c r="T36" s="136" t="str">
        <f aca="false">IF(COUNTIF(B36:K36,"X")&gt;0,"OK","SIN CU")</f>
        <v>OK</v>
      </c>
    </row>
    <row r="37" customFormat="false" ht="15" hidden="false" customHeight="true" outlineLevel="0" collapsed="false">
      <c r="A37" s="135" t="s">
        <v>492</v>
      </c>
      <c r="B37" s="136"/>
      <c r="C37" s="136"/>
      <c r="D37" s="136"/>
      <c r="E37" s="136"/>
      <c r="F37" s="136"/>
      <c r="G37" s="136"/>
      <c r="H37" s="136"/>
      <c r="I37" s="136"/>
      <c r="J37" s="136" t="s">
        <v>458</v>
      </c>
      <c r="K37" s="136"/>
      <c r="L37" s="136"/>
      <c r="M37" s="136"/>
      <c r="N37" s="136"/>
      <c r="O37" s="136"/>
      <c r="P37" s="136"/>
      <c r="Q37" s="136" t="s">
        <v>458</v>
      </c>
      <c r="R37" s="136"/>
      <c r="S37" s="136"/>
      <c r="T37" s="136" t="str">
        <f aca="false">IF(COUNTIF(B37:K37,"X")&gt;0,"OK","SIN CU")</f>
        <v>OK</v>
      </c>
    </row>
    <row r="38" customFormat="false" ht="15" hidden="false" customHeight="true" outlineLevel="0" collapsed="false">
      <c r="A38" s="135" t="s">
        <v>493</v>
      </c>
      <c r="B38" s="136"/>
      <c r="C38" s="136"/>
      <c r="D38" s="136"/>
      <c r="E38" s="136"/>
      <c r="F38" s="136"/>
      <c r="G38" s="136"/>
      <c r="H38" s="136"/>
      <c r="I38" s="136"/>
      <c r="J38" s="136" t="s">
        <v>458</v>
      </c>
      <c r="K38" s="136"/>
      <c r="L38" s="136"/>
      <c r="M38" s="136"/>
      <c r="N38" s="136"/>
      <c r="O38" s="136"/>
      <c r="P38" s="136"/>
      <c r="Q38" s="136" t="s">
        <v>458</v>
      </c>
      <c r="R38" s="136"/>
      <c r="S38" s="136"/>
      <c r="T38" s="136" t="str">
        <f aca="false">IF(COUNTIF(B38:K38,"X")&gt;0,"OK","SIN CU")</f>
        <v>OK</v>
      </c>
    </row>
    <row r="39" customFormat="false" ht="15" hidden="false" customHeight="true" outlineLevel="0" collapsed="false">
      <c r="A39" s="135" t="s">
        <v>494</v>
      </c>
      <c r="B39" s="136"/>
      <c r="C39" s="136"/>
      <c r="D39" s="136"/>
      <c r="E39" s="136"/>
      <c r="F39" s="136"/>
      <c r="G39" s="136"/>
      <c r="H39" s="136"/>
      <c r="I39" s="136" t="s">
        <v>458</v>
      </c>
      <c r="J39" s="136"/>
      <c r="K39" s="136"/>
      <c r="L39" s="136"/>
      <c r="M39" s="136"/>
      <c r="N39" s="136"/>
      <c r="O39" s="136"/>
      <c r="P39" s="136" t="s">
        <v>458</v>
      </c>
      <c r="Q39" s="136" t="s">
        <v>458</v>
      </c>
      <c r="R39" s="136"/>
      <c r="S39" s="136"/>
      <c r="T39" s="136" t="str">
        <f aca="false">IF(COUNTIF(B39:K39,"X")&gt;0,"OK","SIN CU")</f>
        <v>OK</v>
      </c>
    </row>
    <row r="40" customFormat="false" ht="15" hidden="false" customHeight="true" outlineLevel="0" collapsed="false">
      <c r="A40" s="135" t="s">
        <v>495</v>
      </c>
      <c r="B40" s="136"/>
      <c r="C40" s="136"/>
      <c r="D40" s="136"/>
      <c r="E40" s="136"/>
      <c r="F40" s="136"/>
      <c r="G40" s="136"/>
      <c r="H40" s="136"/>
      <c r="I40" s="136" t="s">
        <v>458</v>
      </c>
      <c r="J40" s="136"/>
      <c r="K40" s="136"/>
      <c r="L40" s="136"/>
      <c r="M40" s="136"/>
      <c r="N40" s="136"/>
      <c r="O40" s="136"/>
      <c r="P40" s="136" t="s">
        <v>458</v>
      </c>
      <c r="Q40" s="136" t="s">
        <v>458</v>
      </c>
      <c r="R40" s="136"/>
      <c r="S40" s="136"/>
      <c r="T40" s="136" t="str">
        <f aca="false">IF(COUNTIF(B40:K40,"X")&gt;0,"OK","SIN CU")</f>
        <v>OK</v>
      </c>
    </row>
    <row r="41" customFormat="false" ht="15" hidden="false" customHeight="true" outlineLevel="0" collapsed="false">
      <c r="A41" s="135" t="s">
        <v>496</v>
      </c>
      <c r="B41" s="136"/>
      <c r="C41" s="136"/>
      <c r="D41" s="136"/>
      <c r="E41" s="136"/>
      <c r="F41" s="136"/>
      <c r="G41" s="136"/>
      <c r="H41" s="136"/>
      <c r="I41" s="136" t="s">
        <v>458</v>
      </c>
      <c r="J41" s="136"/>
      <c r="K41" s="136"/>
      <c r="L41" s="136"/>
      <c r="M41" s="136"/>
      <c r="N41" s="136"/>
      <c r="O41" s="136"/>
      <c r="P41" s="136" t="s">
        <v>458</v>
      </c>
      <c r="Q41" s="136" t="s">
        <v>458</v>
      </c>
      <c r="R41" s="136"/>
      <c r="S41" s="136"/>
      <c r="T41" s="136" t="str">
        <f aca="false">IF(COUNTIF(B41:K41,"X")&gt;0,"OK","SIN CU")</f>
        <v>OK</v>
      </c>
    </row>
    <row r="42" customFormat="false" ht="15" hidden="false" customHeight="true" outlineLevel="0" collapsed="false">
      <c r="A42" s="135" t="s">
        <v>497</v>
      </c>
      <c r="B42" s="136"/>
      <c r="C42" s="136"/>
      <c r="D42" s="136"/>
      <c r="E42" s="136"/>
      <c r="F42" s="136"/>
      <c r="G42" s="136"/>
      <c r="H42" s="136"/>
      <c r="I42" s="136" t="s">
        <v>458</v>
      </c>
      <c r="J42" s="136"/>
      <c r="K42" s="136"/>
      <c r="L42" s="136"/>
      <c r="M42" s="136"/>
      <c r="N42" s="136"/>
      <c r="O42" s="136"/>
      <c r="P42" s="136" t="s">
        <v>458</v>
      </c>
      <c r="Q42" s="136" t="s">
        <v>458</v>
      </c>
      <c r="R42" s="136"/>
      <c r="S42" s="136"/>
      <c r="T42" s="136" t="str">
        <f aca="false">IF(COUNTIF(B42:K42,"X")&gt;0,"OK","SIN CU")</f>
        <v>OK</v>
      </c>
    </row>
    <row r="43" customFormat="false" ht="15" hidden="false" customHeight="true" outlineLevel="0" collapsed="false">
      <c r="A43" s="135" t="s">
        <v>498</v>
      </c>
      <c r="B43" s="136" t="s">
        <v>458</v>
      </c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 t="s">
        <v>458</v>
      </c>
      <c r="Q43" s="136" t="s">
        <v>458</v>
      </c>
      <c r="R43" s="136"/>
      <c r="S43" s="136"/>
      <c r="T43" s="136" t="str">
        <f aca="false">IF(COUNTIF(B43:K43,"X")&gt;0,"OK","SIN CU")</f>
        <v>OK</v>
      </c>
    </row>
    <row r="44" customFormat="false" ht="15" hidden="false" customHeight="true" outlineLevel="0" collapsed="false">
      <c r="A44" s="135" t="s">
        <v>499</v>
      </c>
      <c r="B44" s="136" t="s">
        <v>458</v>
      </c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 t="s">
        <v>458</v>
      </c>
      <c r="Q44" s="136" t="s">
        <v>458</v>
      </c>
      <c r="R44" s="136"/>
      <c r="S44" s="136"/>
      <c r="T44" s="136" t="str">
        <f aca="false">IF(COUNTIF(B44:K44,"X")&gt;0,"OK","SIN CU")</f>
        <v>OK</v>
      </c>
    </row>
    <row r="45" customFormat="false" ht="15" hidden="false" customHeight="true" outlineLevel="0" collapsed="false">
      <c r="A45" s="135" t="s">
        <v>500</v>
      </c>
      <c r="B45" s="136" t="s">
        <v>458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 t="s">
        <v>458</v>
      </c>
      <c r="Q45" s="136" t="s">
        <v>458</v>
      </c>
      <c r="R45" s="136"/>
      <c r="S45" s="136"/>
      <c r="T45" s="136" t="str">
        <f aca="false">IF(COUNTIF(B45:K45,"X")&gt;0,"OK","SIN CU")</f>
        <v>OK</v>
      </c>
    </row>
    <row r="46" customFormat="false" ht="15" hidden="false" customHeight="true" outlineLevel="0" collapsed="false">
      <c r="A46" s="135" t="s">
        <v>501</v>
      </c>
      <c r="B46" s="136" t="s">
        <v>458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 t="s">
        <v>458</v>
      </c>
      <c r="R46" s="136"/>
      <c r="S46" s="136"/>
      <c r="T46" s="136" t="str">
        <f aca="false">IF(COUNTIF(B46:K46,"X")&gt;0,"OK","SIN CU")</f>
        <v>OK</v>
      </c>
    </row>
    <row r="47" customFormat="false" ht="15" hidden="false" customHeight="true" outlineLevel="0" collapsed="false">
      <c r="A47" s="137" t="s">
        <v>502</v>
      </c>
      <c r="B47" s="138" t="n">
        <f aca="false">COUNTIF(B3:B46,"X")</f>
        <v>13</v>
      </c>
      <c r="C47" s="138" t="n">
        <f aca="false">COUNTIF(C3:C46,"X")</f>
        <v>1</v>
      </c>
      <c r="D47" s="138" t="n">
        <f aca="false">COUNTIF(D3:D46,"X")</f>
        <v>3</v>
      </c>
      <c r="E47" s="138" t="n">
        <f aca="false">COUNTIF(E3:E46,"X")</f>
        <v>6</v>
      </c>
      <c r="F47" s="138" t="n">
        <f aca="false">COUNTIF(F3:F46,"X")</f>
        <v>3</v>
      </c>
      <c r="G47" s="138" t="n">
        <f aca="false">COUNTIF(G3:G46,"X")</f>
        <v>1</v>
      </c>
      <c r="H47" s="138" t="n">
        <f aca="false">COUNTIF(H3:H46,"X")</f>
        <v>5</v>
      </c>
      <c r="I47" s="138" t="n">
        <f aca="false">COUNTIF(I3:I46,"X")</f>
        <v>4</v>
      </c>
      <c r="J47" s="138" t="n">
        <f aca="false">COUNTIF(J3:J46,"X")</f>
        <v>6</v>
      </c>
      <c r="K47" s="138" t="n">
        <f aca="false">COUNTIF(K3:K46,"X")</f>
        <v>3</v>
      </c>
      <c r="L47" s="138" t="n">
        <f aca="false">COUNTIF(L3:L46,"X")</f>
        <v>2</v>
      </c>
      <c r="M47" s="138" t="n">
        <f aca="false">COUNTIF(M3:M46,"X")</f>
        <v>2</v>
      </c>
      <c r="N47" s="138" t="n">
        <f aca="false">COUNTIF(N3:N46,"X")</f>
        <v>3</v>
      </c>
      <c r="O47" s="138" t="n">
        <f aca="false">COUNTIF(O3:O46,"X")</f>
        <v>2</v>
      </c>
      <c r="P47" s="138" t="n">
        <f aca="false">COUNTIF(P3:P46,"X")</f>
        <v>13</v>
      </c>
      <c r="Q47" s="138" t="n">
        <f aca="false">COUNTIF(Q3:Q46,"X")</f>
        <v>44</v>
      </c>
      <c r="R47" s="138" t="n">
        <f aca="false">COUNTIF(R3:R46,"X")</f>
        <v>4</v>
      </c>
      <c r="S47" s="138" t="n">
        <f aca="false">COUNTIF(S3:S46,"X")</f>
        <v>0</v>
      </c>
      <c r="T47" s="138" t="str">
        <f aca="false">COUNTIF(T3:T46,"OK")&amp;" de "&amp;COUNTA(A3:A46)</f>
        <v>44 de 44</v>
      </c>
    </row>
    <row r="49" customFormat="false" ht="15" hidden="false" customHeight="true" outlineLevel="0" collapsed="false">
      <c r="A49" s="139" t="s">
        <v>503</v>
      </c>
    </row>
    <row r="50" customFormat="false" ht="15" hidden="false" customHeight="true" outlineLevel="0" collapsed="false">
      <c r="A50" s="140"/>
    </row>
    <row r="51" customFormat="false" ht="15" hidden="false" customHeight="true" outlineLevel="0" collapsed="false">
      <c r="A51" s="139" t="s">
        <v>504</v>
      </c>
    </row>
    <row r="52" customFormat="false" ht="15" hidden="false" customHeight="true" outlineLevel="0" collapsed="false">
      <c r="A52" s="140" t="s">
        <v>505</v>
      </c>
    </row>
    <row r="53" customFormat="false" ht="15" hidden="false" customHeight="true" outlineLevel="0" collapsed="false">
      <c r="A53" s="140" t="s">
        <v>506</v>
      </c>
    </row>
    <row r="54" customFormat="false" ht="15" hidden="false" customHeight="true" outlineLevel="0" collapsed="false">
      <c r="A54" s="140" t="s">
        <v>507</v>
      </c>
    </row>
    <row r="55" customFormat="false" ht="15" hidden="false" customHeight="true" outlineLevel="0" collapsed="false">
      <c r="A55" s="140" t="s">
        <v>508</v>
      </c>
    </row>
    <row r="56" customFormat="false" ht="15" hidden="false" customHeight="true" outlineLevel="0" collapsed="false">
      <c r="A56" s="140" t="s">
        <v>509</v>
      </c>
    </row>
    <row r="57" customFormat="false" ht="15" hidden="false" customHeight="true" outlineLevel="0" collapsed="false">
      <c r="A57" s="140" t="s">
        <v>510</v>
      </c>
    </row>
    <row r="58" customFormat="false" ht="15" hidden="false" customHeight="true" outlineLevel="0" collapsed="false">
      <c r="A58" s="140" t="s">
        <v>511</v>
      </c>
    </row>
    <row r="59" customFormat="false" ht="15" hidden="false" customHeight="true" outlineLevel="0" collapsed="false">
      <c r="A59" s="140" t="s">
        <v>512</v>
      </c>
    </row>
    <row r="60" customFormat="false" ht="15" hidden="false" customHeight="true" outlineLevel="0" collapsed="false">
      <c r="A60" s="140" t="s">
        <v>513</v>
      </c>
    </row>
    <row r="61" customFormat="false" ht="15" hidden="false" customHeight="true" outlineLevel="0" collapsed="false">
      <c r="A61" s="140" t="s">
        <v>514</v>
      </c>
    </row>
    <row r="62" customFormat="false" ht="15" hidden="false" customHeight="true" outlineLevel="0" collapsed="false">
      <c r="A62" s="140"/>
    </row>
    <row r="63" customFormat="false" ht="15" hidden="false" customHeight="true" outlineLevel="0" collapsed="false">
      <c r="A63" s="139" t="s">
        <v>515</v>
      </c>
    </row>
    <row r="64" customFormat="false" ht="15" hidden="false" customHeight="true" outlineLevel="0" collapsed="false">
      <c r="A64" s="140" t="s">
        <v>516</v>
      </c>
    </row>
    <row r="65" customFormat="false" ht="15" hidden="false" customHeight="true" outlineLevel="0" collapsed="false">
      <c r="A65" s="140" t="s">
        <v>517</v>
      </c>
    </row>
    <row r="66" customFormat="false" ht="15" hidden="false" customHeight="true" outlineLevel="0" collapsed="false">
      <c r="A66" s="140"/>
    </row>
    <row r="67" customFormat="false" ht="15" hidden="false" customHeight="true" outlineLevel="0" collapsed="false">
      <c r="A67" s="139" t="s">
        <v>518</v>
      </c>
    </row>
    <row r="68" customFormat="false" ht="15" hidden="false" customHeight="true" outlineLevel="0" collapsed="false">
      <c r="A68" s="140" t="s">
        <v>519</v>
      </c>
    </row>
    <row r="69" customFormat="false" ht="15" hidden="false" customHeight="true" outlineLevel="0" collapsed="false">
      <c r="A69" s="140" t="s">
        <v>520</v>
      </c>
    </row>
    <row r="70" customFormat="false" ht="15" hidden="false" customHeight="true" outlineLevel="0" collapsed="false">
      <c r="A70" s="140" t="s">
        <v>521</v>
      </c>
    </row>
    <row r="71" customFormat="false" ht="15" hidden="false" customHeight="true" outlineLevel="0" collapsed="false">
      <c r="A71" s="140" t="s">
        <v>522</v>
      </c>
    </row>
  </sheetData>
  <mergeCells count="4">
    <mergeCell ref="B1:K1"/>
    <mergeCell ref="L1:O1"/>
    <mergeCell ref="P1:S1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4" min="3" style="1" width="70"/>
  </cols>
  <sheetData>
    <row r="1" customFormat="false" ht="15" hidden="false" customHeight="true" outlineLevel="0" collapsed="false">
      <c r="A1" s="141" t="s">
        <v>523</v>
      </c>
    </row>
    <row r="3" customFormat="false" ht="15" hidden="false" customHeight="true" outlineLevel="0" collapsed="false">
      <c r="A3" s="106" t="s">
        <v>524</v>
      </c>
      <c r="B3" s="106" t="s">
        <v>525</v>
      </c>
      <c r="C3" s="106" t="s">
        <v>526</v>
      </c>
      <c r="D3" s="106" t="s">
        <v>527</v>
      </c>
    </row>
    <row r="4" customFormat="false" ht="15" hidden="false" customHeight="true" outlineLevel="0" collapsed="false">
      <c r="A4" s="142" t="n">
        <v>1</v>
      </c>
      <c r="B4" s="142" t="s">
        <v>528</v>
      </c>
      <c r="C4" s="142" t="s">
        <v>529</v>
      </c>
      <c r="D4" s="142" t="s">
        <v>530</v>
      </c>
    </row>
    <row r="5" customFormat="false" ht="23.25" hidden="false" customHeight="true" outlineLevel="0" collapsed="false">
      <c r="A5" s="142" t="n">
        <v>2</v>
      </c>
      <c r="B5" s="142" t="s">
        <v>528</v>
      </c>
      <c r="C5" s="142" t="s">
        <v>531</v>
      </c>
      <c r="D5" s="142" t="s">
        <v>532</v>
      </c>
    </row>
    <row r="6" customFormat="false" ht="23.25" hidden="false" customHeight="true" outlineLevel="0" collapsed="false">
      <c r="A6" s="142" t="n">
        <v>3</v>
      </c>
      <c r="B6" s="142" t="s">
        <v>528</v>
      </c>
      <c r="C6" s="142" t="s">
        <v>533</v>
      </c>
      <c r="D6" s="142" t="s">
        <v>534</v>
      </c>
    </row>
    <row r="7" customFormat="false" ht="34.5" hidden="false" customHeight="true" outlineLevel="0" collapsed="false">
      <c r="A7" s="142" t="n">
        <v>4</v>
      </c>
      <c r="B7" s="142" t="s">
        <v>528</v>
      </c>
      <c r="C7" s="142" t="s">
        <v>535</v>
      </c>
      <c r="D7" s="142" t="s">
        <v>536</v>
      </c>
    </row>
    <row r="8" customFormat="false" ht="15" hidden="false" customHeight="true" outlineLevel="0" collapsed="false">
      <c r="A8" s="142" t="n">
        <v>5</v>
      </c>
      <c r="B8" s="142" t="s">
        <v>537</v>
      </c>
      <c r="C8" s="142" t="s">
        <v>538</v>
      </c>
      <c r="D8" s="142" t="s">
        <v>539</v>
      </c>
    </row>
    <row r="9" customFormat="false" ht="15" hidden="false" customHeight="true" outlineLevel="0" collapsed="false">
      <c r="A9" s="142" t="n">
        <v>6</v>
      </c>
      <c r="B9" s="142" t="s">
        <v>540</v>
      </c>
      <c r="C9" s="142" t="s">
        <v>541</v>
      </c>
      <c r="D9" s="142" t="s">
        <v>542</v>
      </c>
    </row>
    <row r="10" customFormat="false" ht="23.25" hidden="false" customHeight="true" outlineLevel="0" collapsed="false">
      <c r="A10" s="142" t="n">
        <v>7</v>
      </c>
      <c r="B10" s="142" t="s">
        <v>437</v>
      </c>
      <c r="C10" s="142" t="s">
        <v>543</v>
      </c>
      <c r="D10" s="142" t="s">
        <v>544</v>
      </c>
    </row>
    <row r="11" customFormat="false" ht="15" hidden="false" customHeight="true" outlineLevel="0" collapsed="false">
      <c r="A11" s="142" t="n">
        <v>8</v>
      </c>
      <c r="B11" s="142" t="s">
        <v>437</v>
      </c>
      <c r="C11" s="142" t="s">
        <v>545</v>
      </c>
      <c r="D11" s="142" t="s">
        <v>546</v>
      </c>
    </row>
    <row r="12" customFormat="false" ht="15" hidden="false" customHeight="false" outlineLevel="0" collapsed="false">
      <c r="A12" s="143" t="n">
        <v>9</v>
      </c>
      <c r="B12" s="143" t="s">
        <v>537</v>
      </c>
      <c r="C12" s="143" t="s">
        <v>547</v>
      </c>
      <c r="D12" s="143" t="s">
        <v>548</v>
      </c>
    </row>
    <row r="13" customFormat="false" ht="15" hidden="false" customHeight="true" outlineLevel="0" collapsed="false">
      <c r="A13" s="143" t="n">
        <v>10</v>
      </c>
      <c r="B13" s="143" t="s">
        <v>528</v>
      </c>
      <c r="C13" s="143" t="s">
        <v>549</v>
      </c>
      <c r="D13" s="143" t="s">
        <v>550</v>
      </c>
    </row>
    <row r="14" customFormat="false" ht="15" hidden="false" customHeight="true" outlineLevel="0" collapsed="false">
      <c r="A14" s="143" t="n">
        <v>11</v>
      </c>
      <c r="B14" s="143" t="s">
        <v>528</v>
      </c>
      <c r="C14" s="143" t="s">
        <v>551</v>
      </c>
      <c r="D14" s="143" t="s">
        <v>552</v>
      </c>
    </row>
    <row r="15" customFormat="false" ht="23.25" hidden="false" customHeight="true" outlineLevel="0" collapsed="false">
      <c r="A15" s="143" t="n">
        <v>12</v>
      </c>
      <c r="B15" s="143" t="s">
        <v>528</v>
      </c>
      <c r="C15" s="143" t="s">
        <v>553</v>
      </c>
      <c r="D15" s="143" t="s">
        <v>554</v>
      </c>
    </row>
    <row r="16" customFormat="false" ht="23.25" hidden="false" customHeight="true" outlineLevel="0" collapsed="false">
      <c r="A16" s="143" t="n">
        <v>13</v>
      </c>
      <c r="B16" s="143" t="s">
        <v>555</v>
      </c>
      <c r="C16" s="143" t="s">
        <v>556</v>
      </c>
      <c r="D16" s="143" t="s">
        <v>557</v>
      </c>
    </row>
    <row r="17" customFormat="false" ht="23.25" hidden="false" customHeight="true" outlineLevel="0" collapsed="false">
      <c r="A17" s="144"/>
      <c r="B17" s="144"/>
      <c r="C17" s="144"/>
      <c r="D17" s="144"/>
    </row>
    <row r="18" customFormat="false" ht="15" hidden="false" customHeight="true" outlineLevel="0" collapsed="false">
      <c r="A18" s="145" t="s">
        <v>558</v>
      </c>
      <c r="B18" s="144"/>
      <c r="C18" s="144"/>
      <c r="D18" s="144"/>
    </row>
    <row r="19" customFormat="false" ht="15" hidden="false" customHeight="false" outlineLevel="0" collapsed="false">
      <c r="A19" s="106" t="s">
        <v>524</v>
      </c>
      <c r="B19" s="106" t="s">
        <v>525</v>
      </c>
      <c r="C19" s="106" t="s">
        <v>559</v>
      </c>
      <c r="D19" s="106" t="s">
        <v>560</v>
      </c>
    </row>
    <row r="20" customFormat="false" ht="15" hidden="false" customHeight="false" outlineLevel="0" collapsed="false">
      <c r="A20" s="143" t="n">
        <v>1</v>
      </c>
      <c r="B20" s="143" t="s">
        <v>537</v>
      </c>
      <c r="C20" s="143" t="s">
        <v>561</v>
      </c>
      <c r="D20" s="143" t="s">
        <v>562</v>
      </c>
    </row>
    <row r="21" customFormat="false" ht="35.05" hidden="false" customHeight="false" outlineLevel="0" collapsed="false">
      <c r="A21" s="143" t="n">
        <v>2</v>
      </c>
      <c r="B21" s="143" t="s">
        <v>537</v>
      </c>
      <c r="C21" s="143" t="s">
        <v>563</v>
      </c>
      <c r="D21" s="143" t="s">
        <v>564</v>
      </c>
    </row>
    <row r="22" customFormat="false" ht="15" hidden="false" customHeight="false" outlineLevel="0" collapsed="false">
      <c r="A22" s="143" t="n">
        <v>3</v>
      </c>
      <c r="B22" s="143" t="s">
        <v>537</v>
      </c>
      <c r="C22" s="143" t="s">
        <v>565</v>
      </c>
      <c r="D22" s="143" t="s">
        <v>566</v>
      </c>
    </row>
    <row r="23" customFormat="false" ht="15" hidden="false" customHeight="false" outlineLevel="0" collapsed="false">
      <c r="A23" s="143" t="n">
        <v>4</v>
      </c>
      <c r="B23" s="143" t="s">
        <v>528</v>
      </c>
      <c r="C23" s="143" t="s">
        <v>567</v>
      </c>
      <c r="D23" s="143" t="s">
        <v>568</v>
      </c>
    </row>
    <row r="24" customFormat="false" ht="15" hidden="false" customHeight="false" outlineLevel="0" collapsed="false">
      <c r="A24" s="146"/>
      <c r="B24" s="146"/>
      <c r="C24" s="146"/>
      <c r="D24" s="146"/>
    </row>
    <row r="25" customFormat="false" ht="15" hidden="false" customHeight="false" outlineLevel="0" collapsed="false">
      <c r="A25" s="146"/>
      <c r="B25" s="146"/>
      <c r="C25" s="146"/>
      <c r="D25" s="146"/>
    </row>
    <row r="26" customFormat="false" ht="15" hidden="false" customHeight="false" outlineLevel="0" collapsed="false">
      <c r="A26" s="146"/>
      <c r="B26" s="146"/>
      <c r="C26" s="146"/>
      <c r="D26" s="146"/>
    </row>
    <row r="27" customFormat="false" ht="15" hidden="false" customHeight="false" outlineLevel="0" collapsed="false">
      <c r="A27" s="146"/>
      <c r="B27" s="146"/>
      <c r="C27" s="146"/>
      <c r="D27" s="146"/>
    </row>
    <row r="28" customFormat="false" ht="15" hidden="false" customHeight="false" outlineLevel="0" collapsed="false">
      <c r="A28" s="146"/>
      <c r="B28" s="146"/>
      <c r="C28" s="146"/>
      <c r="D28" s="146"/>
    </row>
    <row r="29" customFormat="false" ht="15" hidden="false" customHeight="false" outlineLevel="0" collapsed="false">
      <c r="A29" s="146"/>
      <c r="B29" s="146"/>
      <c r="C29" s="146"/>
      <c r="D29" s="146"/>
    </row>
    <row r="30" customFormat="false" ht="15" hidden="false" customHeight="false" outlineLevel="0" collapsed="false">
      <c r="A30" s="146"/>
      <c r="B30" s="146"/>
      <c r="C30" s="146"/>
      <c r="D30" s="146"/>
    </row>
    <row r="31" customFormat="false" ht="15" hidden="false" customHeight="false" outlineLevel="0" collapsed="false">
      <c r="A31" s="146"/>
      <c r="B31" s="146"/>
      <c r="C31" s="146"/>
      <c r="D31" s="146"/>
    </row>
    <row r="32" customFormat="false" ht="15" hidden="false" customHeight="false" outlineLevel="0" collapsed="false">
      <c r="A32" s="146"/>
      <c r="B32" s="146"/>
      <c r="C32" s="146"/>
      <c r="D32" s="146"/>
    </row>
    <row r="33" customFormat="false" ht="15" hidden="false" customHeight="false" outlineLevel="0" collapsed="false">
      <c r="A33" s="146"/>
      <c r="B33" s="146"/>
      <c r="C33" s="146"/>
      <c r="D33" s="146"/>
    </row>
    <row r="34" customFormat="false" ht="15" hidden="false" customHeight="false" outlineLevel="0" collapsed="false">
      <c r="A34" s="146"/>
      <c r="B34" s="146"/>
      <c r="C34" s="146"/>
      <c r="D34" s="146"/>
    </row>
    <row r="35" customFormat="false" ht="15" hidden="false" customHeight="false" outlineLevel="0" collapsed="false">
      <c r="A35" s="146"/>
      <c r="B35" s="146"/>
      <c r="C35" s="146"/>
      <c r="D35" s="146"/>
    </row>
    <row r="36" customFormat="false" ht="15" hidden="false" customHeight="false" outlineLevel="0" collapsed="false">
      <c r="A36" s="146"/>
      <c r="B36" s="146"/>
      <c r="C36" s="146"/>
      <c r="D36" s="146"/>
    </row>
    <row r="37" customFormat="false" ht="15" hidden="false" customHeight="false" outlineLevel="0" collapsed="false">
      <c r="A37" s="146"/>
      <c r="B37" s="146"/>
      <c r="C37" s="146"/>
      <c r="D37" s="146"/>
    </row>
    <row r="38" customFormat="false" ht="15" hidden="false" customHeight="false" outlineLevel="0" collapsed="false">
      <c r="A38" s="146"/>
      <c r="B38" s="146"/>
      <c r="C38" s="146"/>
      <c r="D38" s="146"/>
    </row>
    <row r="39" customFormat="false" ht="15" hidden="false" customHeight="false" outlineLevel="0" collapsed="false">
      <c r="A39" s="146"/>
      <c r="B39" s="146"/>
      <c r="C39" s="146"/>
      <c r="D39" s="146"/>
    </row>
    <row r="40" customFormat="false" ht="15" hidden="false" customHeight="false" outlineLevel="0" collapsed="false">
      <c r="A40" s="146"/>
      <c r="B40" s="146"/>
      <c r="C40" s="146"/>
      <c r="D40" s="146"/>
    </row>
    <row r="41" customFormat="false" ht="15" hidden="false" customHeight="false" outlineLevel="0" collapsed="false">
      <c r="A41" s="146"/>
      <c r="B41" s="146"/>
      <c r="C41" s="146"/>
      <c r="D41" s="146"/>
    </row>
    <row r="42" customFormat="false" ht="15" hidden="false" customHeight="false" outlineLevel="0" collapsed="false">
      <c r="A42" s="146"/>
      <c r="B42" s="146"/>
      <c r="C42" s="146"/>
      <c r="D42" s="146"/>
    </row>
    <row r="43" customFormat="false" ht="15" hidden="false" customHeight="false" outlineLevel="0" collapsed="false">
      <c r="A43" s="146"/>
      <c r="B43" s="146"/>
      <c r="C43" s="146"/>
      <c r="D43" s="146"/>
    </row>
    <row r="44" customFormat="false" ht="15" hidden="false" customHeight="false" outlineLevel="0" collapsed="false">
      <c r="A44" s="146"/>
      <c r="B44" s="146"/>
      <c r="C44" s="146"/>
      <c r="D44" s="146"/>
    </row>
    <row r="45" customFormat="false" ht="15" hidden="false" customHeight="false" outlineLevel="0" collapsed="false">
      <c r="A45" s="146"/>
      <c r="B45" s="146"/>
      <c r="C45" s="146"/>
      <c r="D45" s="146"/>
    </row>
    <row r="46" customFormat="false" ht="15" hidden="false" customHeight="false" outlineLevel="0" collapsed="false">
      <c r="A46" s="146"/>
      <c r="B46" s="146"/>
      <c r="C46" s="146"/>
      <c r="D46" s="146"/>
    </row>
    <row r="47" customFormat="false" ht="15" hidden="false" customHeight="false" outlineLevel="0" collapsed="false">
      <c r="A47" s="146"/>
      <c r="B47" s="146"/>
      <c r="C47" s="146"/>
      <c r="D47" s="146"/>
    </row>
    <row r="48" customFormat="false" ht="15" hidden="false" customHeight="false" outlineLevel="0" collapsed="false">
      <c r="A48" s="146"/>
      <c r="B48" s="146"/>
      <c r="C48" s="146"/>
      <c r="D48" s="146"/>
    </row>
    <row r="49" customFormat="false" ht="15" hidden="false" customHeight="false" outlineLevel="0" collapsed="false">
      <c r="A49" s="146"/>
      <c r="B49" s="146"/>
      <c r="C49" s="146"/>
      <c r="D49" s="146"/>
    </row>
    <row r="50" customFormat="false" ht="15" hidden="false" customHeight="false" outlineLevel="0" collapsed="false">
      <c r="A50" s="146"/>
      <c r="B50" s="146"/>
      <c r="C50" s="146"/>
      <c r="D50" s="146"/>
    </row>
    <row r="51" customFormat="false" ht="15" hidden="false" customHeight="false" outlineLevel="0" collapsed="false">
      <c r="A51" s="146"/>
      <c r="B51" s="146"/>
      <c r="C51" s="146"/>
      <c r="D51" s="146"/>
    </row>
    <row r="52" customFormat="false" ht="15" hidden="false" customHeight="false" outlineLevel="0" collapsed="false">
      <c r="A52" s="146"/>
      <c r="B52" s="146"/>
      <c r="C52" s="146"/>
      <c r="D52" s="146"/>
    </row>
    <row r="53" customFormat="false" ht="15" hidden="false" customHeight="false" outlineLevel="0" collapsed="false">
      <c r="A53" s="146"/>
      <c r="B53" s="146"/>
      <c r="C53" s="146"/>
      <c r="D53" s="146"/>
    </row>
    <row r="54" customFormat="false" ht="15" hidden="false" customHeight="false" outlineLevel="0" collapsed="false">
      <c r="A54" s="146"/>
      <c r="B54" s="146"/>
      <c r="C54" s="146"/>
      <c r="D54" s="146"/>
    </row>
    <row r="55" customFormat="false" ht="15" hidden="false" customHeight="false" outlineLevel="0" collapsed="false">
      <c r="A55" s="146"/>
      <c r="B55" s="146"/>
      <c r="C55" s="146"/>
      <c r="D55" s="146"/>
    </row>
    <row r="56" customFormat="false" ht="15" hidden="false" customHeight="false" outlineLevel="0" collapsed="false">
      <c r="A56" s="146"/>
      <c r="B56" s="146"/>
      <c r="C56" s="146"/>
      <c r="D56" s="146"/>
    </row>
    <row r="57" customFormat="false" ht="15" hidden="false" customHeight="false" outlineLevel="0" collapsed="false">
      <c r="A57" s="146"/>
      <c r="B57" s="146"/>
      <c r="C57" s="146"/>
      <c r="D57" s="146"/>
    </row>
    <row r="58" customFormat="false" ht="15" hidden="false" customHeight="false" outlineLevel="0" collapsed="false">
      <c r="A58" s="146"/>
      <c r="B58" s="146"/>
      <c r="C58" s="146"/>
      <c r="D58" s="146"/>
    </row>
    <row r="59" customFormat="false" ht="15" hidden="false" customHeight="false" outlineLevel="0" collapsed="false">
      <c r="A59" s="146"/>
      <c r="B59" s="146"/>
      <c r="C59" s="146"/>
      <c r="D59" s="14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2026-10-28T00:36:53Z</dcterms:created>
  <dc:creator>openpyxl</dc:creator>
  <dc:description/>
  <dc:language>en-US</dc:language>
  <cp:lastModifiedBy>Guillermo Felipe</cp:lastModifiedBy>
  <dcterms:modified xsi:type="dcterms:W3CDTF">2026-10-29T02:16:58Z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fef5ab61-9287-4a20-b59a-ca6f8d2c7560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2026-05-19T02:52:14Z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Tag">
    <vt:lpwstr>10, 0, 1, 1</vt:lpwstr>
  </property>
</Properties>
</file>